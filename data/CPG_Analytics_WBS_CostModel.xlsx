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ija\Downloads\"/>
    </mc:Choice>
  </mc:AlternateContent>
  <xr:revisionPtr revIDLastSave="0" documentId="13_ncr:1_{9ACB80FC-D025-4809-9EEB-2EB4C307040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Assumptions" sheetId="1" r:id="rId1"/>
    <sheet name="WBS Detail" sheetId="2" r:id="rId2"/>
    <sheet name="Phase Summary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1" l="1"/>
  <c r="E34" i="1"/>
  <c r="E35" i="1"/>
  <c r="B36" i="1"/>
  <c r="C36" i="1"/>
  <c r="D36" i="1"/>
  <c r="D6" i="3" s="1"/>
  <c r="E36" i="1"/>
  <c r="E37" i="1"/>
  <c r="F7" i="3" s="1"/>
  <c r="B38" i="1"/>
  <c r="E38" i="1" s="1"/>
  <c r="C38" i="1"/>
  <c r="C39" i="1" s="1"/>
  <c r="D38" i="1"/>
  <c r="D39" i="1"/>
  <c r="H67" i="2"/>
  <c r="G67" i="2"/>
  <c r="D7" i="3"/>
  <c r="C7" i="3"/>
  <c r="B7" i="3"/>
  <c r="D5" i="3"/>
  <c r="C5" i="3"/>
  <c r="B5" i="3"/>
  <c r="H65" i="2"/>
  <c r="G65" i="2"/>
  <c r="H64" i="2"/>
  <c r="G64" i="2"/>
  <c r="H63" i="2"/>
  <c r="G63" i="2"/>
  <c r="H62" i="2"/>
  <c r="G62" i="2"/>
  <c r="H61" i="2"/>
  <c r="G61" i="2"/>
  <c r="H60" i="2"/>
  <c r="G60" i="2"/>
  <c r="F59" i="2"/>
  <c r="G59" i="2" s="1"/>
  <c r="H58" i="2"/>
  <c r="G58" i="2"/>
  <c r="H57" i="2"/>
  <c r="G57" i="2"/>
  <c r="H56" i="2"/>
  <c r="G56" i="2"/>
  <c r="H55" i="2"/>
  <c r="G55" i="2"/>
  <c r="H54" i="2"/>
  <c r="G54" i="2"/>
  <c r="H53" i="2"/>
  <c r="G53" i="2"/>
  <c r="F52" i="2"/>
  <c r="H52" i="2" s="1"/>
  <c r="H51" i="2"/>
  <c r="G51" i="2"/>
  <c r="H50" i="2"/>
  <c r="G50" i="2"/>
  <c r="H49" i="2"/>
  <c r="G49" i="2"/>
  <c r="F48" i="2"/>
  <c r="H48" i="2" s="1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F40" i="2"/>
  <c r="G40" i="2" s="1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F30" i="2"/>
  <c r="H30" i="2" s="1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F21" i="2"/>
  <c r="H21" i="2" s="1"/>
  <c r="H20" i="2"/>
  <c r="G20" i="2"/>
  <c r="H19" i="2"/>
  <c r="G19" i="2"/>
  <c r="H18" i="2"/>
  <c r="G18" i="2"/>
  <c r="H17" i="2"/>
  <c r="G17" i="2"/>
  <c r="H16" i="2"/>
  <c r="G16" i="2"/>
  <c r="H15" i="2"/>
  <c r="G15" i="2"/>
  <c r="F14" i="2"/>
  <c r="H14" i="2" s="1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F5" i="2"/>
  <c r="D8" i="3"/>
  <c r="C8" i="3"/>
  <c r="B8" i="3"/>
  <c r="C6" i="3"/>
  <c r="B6" i="3"/>
  <c r="B24" i="1"/>
  <c r="B23" i="1"/>
  <c r="B25" i="1" s="1"/>
  <c r="B16" i="1"/>
  <c r="E12" i="1"/>
  <c r="D12" i="1"/>
  <c r="E11" i="1"/>
  <c r="D11" i="1"/>
  <c r="E10" i="1"/>
  <c r="D10" i="1"/>
  <c r="E9" i="1"/>
  <c r="D9" i="1"/>
  <c r="E8" i="1"/>
  <c r="D8" i="1"/>
  <c r="E7" i="1"/>
  <c r="D7" i="1"/>
  <c r="D6" i="1"/>
  <c r="B39" i="1" l="1"/>
  <c r="E39" i="1" s="1"/>
  <c r="D40" i="1"/>
  <c r="C40" i="1"/>
  <c r="B27" i="1"/>
  <c r="B9" i="3"/>
  <c r="E10" i="3"/>
  <c r="G48" i="2"/>
  <c r="E67" i="2"/>
  <c r="G21" i="2"/>
  <c r="G30" i="2"/>
  <c r="G14" i="2"/>
  <c r="H59" i="2"/>
  <c r="H40" i="2"/>
  <c r="F67" i="2"/>
  <c r="B71" i="2" s="1"/>
  <c r="B26" i="1"/>
  <c r="B28" i="1" s="1"/>
  <c r="B40" i="1" s="1"/>
  <c r="E40" i="1" s="1"/>
  <c r="G5" i="2"/>
  <c r="H5" i="2"/>
  <c r="G52" i="2"/>
  <c r="F8" i="3"/>
  <c r="E7" i="3" l="1"/>
  <c r="E9" i="3"/>
  <c r="C72" i="2"/>
  <c r="D72" i="2" s="1"/>
  <c r="I65" i="2"/>
  <c r="I42" i="2"/>
  <c r="I37" i="2"/>
  <c r="I24" i="2"/>
  <c r="I19" i="2"/>
  <c r="I6" i="2"/>
  <c r="I23" i="2"/>
  <c r="I17" i="2"/>
  <c r="I55" i="2"/>
  <c r="I45" i="2"/>
  <c r="C74" i="2"/>
  <c r="C71" i="2"/>
  <c r="D71" i="2" s="1"/>
  <c r="I62" i="2"/>
  <c r="I57" i="2"/>
  <c r="I47" i="2"/>
  <c r="I34" i="2"/>
  <c r="I29" i="2"/>
  <c r="I16" i="2"/>
  <c r="I11" i="2"/>
  <c r="I60" i="2"/>
  <c r="I54" i="2"/>
  <c r="I49" i="2"/>
  <c r="I44" i="2"/>
  <c r="I39" i="2"/>
  <c r="I31" i="2"/>
  <c r="I26" i="2"/>
  <c r="I8" i="2"/>
  <c r="I41" i="2"/>
  <c r="I36" i="2"/>
  <c r="I18" i="2"/>
  <c r="I13" i="2"/>
  <c r="I64" i="2"/>
  <c r="I50" i="2"/>
  <c r="I32" i="2"/>
  <c r="I9" i="2"/>
  <c r="C73" i="2"/>
  <c r="I61" i="2"/>
  <c r="I56" i="2"/>
  <c r="I51" i="2"/>
  <c r="I46" i="2"/>
  <c r="I33" i="2"/>
  <c r="I28" i="2"/>
  <c r="I15" i="2"/>
  <c r="I10" i="2"/>
  <c r="I35" i="2"/>
  <c r="I12" i="2"/>
  <c r="I27" i="2"/>
  <c r="I53" i="2"/>
  <c r="I43" i="2"/>
  <c r="I38" i="2"/>
  <c r="I25" i="2"/>
  <c r="I20" i="2"/>
  <c r="I7" i="2"/>
  <c r="I63" i="2"/>
  <c r="I58" i="2"/>
  <c r="I22" i="2"/>
  <c r="D10" i="3"/>
  <c r="D9" i="3"/>
  <c r="C9" i="3"/>
  <c r="C10" i="3"/>
  <c r="F9" i="3"/>
  <c r="B73" i="2"/>
  <c r="B74" i="2" s="1"/>
  <c r="D74" i="2" l="1"/>
  <c r="I52" i="2"/>
  <c r="I21" i="2"/>
  <c r="I48" i="2"/>
  <c r="I5" i="2"/>
  <c r="I59" i="2"/>
  <c r="I14" i="2"/>
  <c r="I40" i="2"/>
  <c r="B10" i="3"/>
  <c r="F10" i="3"/>
  <c r="D73" i="2"/>
  <c r="I30" i="2"/>
  <c r="I67" i="2" l="1"/>
</calcChain>
</file>

<file path=xl/sharedStrings.xml><?xml version="1.0" encoding="utf-8"?>
<sst xmlns="http://schemas.openxmlformats.org/spreadsheetml/2006/main" count="397" uniqueCount="287">
  <si>
    <t>WBS Cost Model — Assumptions &amp; Rate Card</t>
  </si>
  <si>
    <t>Blue cells = inputs you can change  |  Black cells = calculated  |  All costs in USD</t>
  </si>
  <si>
    <t>RATE CARD</t>
  </si>
  <si>
    <t>Role</t>
  </si>
  <si>
    <t>Onshore ($/hr)</t>
  </si>
  <si>
    <t>Offshore ($/hr)</t>
  </si>
  <si>
    <t>Onshore ($/pd)</t>
  </si>
  <si>
    <t>Offshore ($/pd)</t>
  </si>
  <si>
    <t>Notes</t>
  </si>
  <si>
    <t>Engagement Director</t>
  </si>
  <si>
    <t>—</t>
  </si>
  <si>
    <t>Onshore only</t>
  </si>
  <si>
    <t>Solution Architect</t>
  </si>
  <si>
    <t>Senior Data/ML Engineer</t>
  </si>
  <si>
    <t>Databricks certified</t>
  </si>
  <si>
    <t>Data/Analytics Engineer</t>
  </si>
  <si>
    <t>DataOps/Platform Engineer</t>
  </si>
  <si>
    <t>BA / Governance Lead</t>
  </si>
  <si>
    <t>QA / Data Steward</t>
  </si>
  <si>
    <t>DELIVERY MODEL</t>
  </si>
  <si>
    <t>Offshore ratio</t>
  </si>
  <si>
    <t>Onshore ratio</t>
  </si>
  <si>
    <t>Working days per month</t>
  </si>
  <si>
    <t>Hours per day</t>
  </si>
  <si>
    <t>Coordination buffer %</t>
  </si>
  <si>
    <t>BLENDED RATE CALCULATION</t>
  </si>
  <si>
    <t>Avg onshore rate ($/hr)</t>
  </si>
  <si>
    <t>Avg offshore rate ($/hr)</t>
  </si>
  <si>
    <t>Avg onshore rate ($/pd)</t>
  </si>
  <si>
    <t>Avg offshore rate ($/pd)</t>
  </si>
  <si>
    <t>BLENDED RATE ($/hr)</t>
  </si>
  <si>
    <t>BLENDED RATE ($/pd)</t>
  </si>
  <si>
    <t>PHASE PARAMETERS</t>
  </si>
  <si>
    <t>Parameter</t>
  </si>
  <si>
    <t>Phase 1</t>
  </si>
  <si>
    <t>Phase 2</t>
  </si>
  <si>
    <t>Phase 3</t>
  </si>
  <si>
    <t>Total</t>
  </si>
  <si>
    <t>Duration (months)</t>
  </si>
  <si>
    <t>Onshore FTE (peak)</t>
  </si>
  <si>
    <t>Offshore FTE (peak)</t>
  </si>
  <si>
    <t>Total FTE (peak)</t>
  </si>
  <si>
    <t>Effort — deliverables (pd)</t>
  </si>
  <si>
    <t>Coordination buffer (5%)</t>
  </si>
  <si>
    <t>TOTAL EFFORT (incl. buffer) (pd)</t>
  </si>
  <si>
    <t>PHASE COST ($)</t>
  </si>
  <si>
    <t>Blue = inputs  |  Black = formulas  |  Costs = Effort (pd) × Blended Rate from Assumptions sheet</t>
  </si>
  <si>
    <t>WBS ID</t>
  </si>
  <si>
    <t>Deliverable / Work Package</t>
  </si>
  <si>
    <t>Phase</t>
  </si>
  <si>
    <t>Lead Role</t>
  </si>
  <si>
    <t>Offshore
Ratio</t>
  </si>
  <si>
    <t>Effort
(pd)</t>
  </si>
  <si>
    <t>Onshore
pd</t>
  </si>
  <si>
    <t>Offshore
pd</t>
  </si>
  <si>
    <t>Cost ($)
@ blended rate</t>
  </si>
  <si>
    <t>1.0</t>
  </si>
  <si>
    <t>Platform &amp; Infrastructure</t>
  </si>
  <si>
    <t>1</t>
  </si>
  <si>
    <t>Cloud Architect</t>
  </si>
  <si>
    <t>AWS foundation + IaC baseline</t>
  </si>
  <si>
    <t>1.1</t>
  </si>
  <si>
    <t>AWS VPC, IAM, Direct Connect, Security Groups</t>
  </si>
  <si>
    <t>On-prem to cloud connectivity</t>
  </si>
  <si>
    <t>1.2</t>
  </si>
  <si>
    <t>Databricks Workspace + Unity Catalog setup</t>
  </si>
  <si>
    <t>Platform Lead</t>
  </si>
  <si>
    <t>Cluster config, UC admin, workspace isolation</t>
  </si>
  <si>
    <t>1.3</t>
  </si>
  <si>
    <t>Terraform IaC + CI/CD baseline (DEV→SIT→UAT→PROD)</t>
  </si>
  <si>
    <t>DataOps Engineer</t>
  </si>
  <si>
    <t>Infra as code, pipeline templates</t>
  </si>
  <si>
    <t>1.4</t>
  </si>
  <si>
    <t>Security posture, VPC flow logs, audit trail</t>
  </si>
  <si>
    <t>CDC + historical + streaming</t>
  </si>
  <si>
    <t>1.5</t>
  </si>
  <si>
    <t>S3 CRR, Databricks multi-region workspace config</t>
  </si>
  <si>
    <t>Full + incremental extract via DMS</t>
  </si>
  <si>
    <t>1.6</t>
  </si>
  <si>
    <t>Pipeline health, DQ drift, SLA alerting</t>
  </si>
  <si>
    <t>Auto Loader batch ingest to Bronze</t>
  </si>
  <si>
    <t>1.7</t>
  </si>
  <si>
    <t>Performance baseline testing &amp; cluster tuning</t>
  </si>
  <si>
    <t>Photon tuning, cluster policies, auto-scaling validation</t>
  </si>
  <si>
    <t>Real-time event ingest &lt;500ms</t>
  </si>
  <si>
    <t>1.8</t>
  </si>
  <si>
    <t>Environment management (DEV / SIT / UAT / PROD)</t>
  </si>
  <si>
    <t>Workspace-per-env, feature branch CI/CD</t>
  </si>
  <si>
    <t>Core Delta Lake zones</t>
  </si>
  <si>
    <t>2.0</t>
  </si>
  <si>
    <t>Data Ingestion &amp; Migration</t>
  </si>
  <si>
    <t>1-2</t>
  </si>
  <si>
    <t>Sr Data Engineer</t>
  </si>
  <si>
    <t>Schema enforcement, DLT Expectations</t>
  </si>
  <si>
    <t>2.1</t>
  </si>
  <si>
    <t>SAP HANA + MDM CDC pipelines (AWS DMS)</t>
  </si>
  <si>
    <t>DQ rules, SCD2, cross-source joins</t>
  </si>
  <si>
    <t>2.2</t>
  </si>
  <si>
    <t>Data Engineer</t>
  </si>
  <si>
    <t>Supply Chain, Brand, Consumer, Margin, Home Care, Beauty</t>
  </si>
  <si>
    <t>2.3</t>
  </si>
  <si>
    <t>2</t>
  </si>
  <si>
    <t>Full analytics + ML stack</t>
  </si>
  <si>
    <t>2.4</t>
  </si>
  <si>
    <t>Data profiling &amp; source system analysis sprint</t>
  </si>
  <si>
    <t>Schema discovery, volume analysis, DQ baseline</t>
  </si>
  <si>
    <t>Direct Lake mode, certified datasets</t>
  </si>
  <si>
    <t>2.5</t>
  </si>
  <si>
    <t>MDM system integration + master data pipelines</t>
  </si>
  <si>
    <t>Product, customer, supplier master data CDC</t>
  </si>
  <si>
    <t>2.6</t>
  </si>
  <si>
    <t>Data quality gate implementation (DLT Expectations)</t>
  </si>
  <si>
    <t>Warn/drop/fail rules across all ingestion pipelines</t>
  </si>
  <si>
    <t>Training pipelines, registry, deployment</t>
  </si>
  <si>
    <t>3.0</t>
  </si>
  <si>
    <t>Medallion Lakehouse (Bronze → Silver → Gold)</t>
  </si>
  <si>
    <t>Phase 3 ML models in production</t>
  </si>
  <si>
    <t>3.1</t>
  </si>
  <si>
    <t>Unity Catalog + multi-region compliance</t>
  </si>
  <si>
    <t>3.2</t>
  </si>
  <si>
    <t>Row/column policies, PII tags, lineage</t>
  </si>
  <si>
    <t>3.3</t>
  </si>
  <si>
    <t>Data Engineer + BA</t>
  </si>
  <si>
    <t>Data Steward roles, glossary, ownership</t>
  </si>
  <si>
    <t>3.4</t>
  </si>
  <si>
    <t>Delta Live Tables pipeline orchestration (all zones)</t>
  </si>
  <si>
    <t>Full DLT DAG design, dependency mgmt, retry logic</t>
  </si>
  <si>
    <t>Regional workspace isolation, audit logs</t>
  </si>
  <si>
    <t>3.5</t>
  </si>
  <si>
    <t>Data partitioning, Z-ordering &amp; performance optimisation</t>
  </si>
  <si>
    <t>Partition strategy per domain, vacuum, OPTIMIZE jobs</t>
  </si>
  <si>
    <t>Month 3 delivery target</t>
  </si>
  <si>
    <t>3.6</t>
  </si>
  <si>
    <t>Schema registry &amp; schema evolution management</t>
  </si>
  <si>
    <t>Schema versioning, backward compat, auto-schema inference</t>
  </si>
  <si>
    <t>2 source systems, DLT pipeline</t>
  </si>
  <si>
    <t>3.7</t>
  </si>
  <si>
    <t>Time travel, CDC merge patterns &amp; SCD2 implementation</t>
  </si>
  <si>
    <t>MERGE INTO, SCD2 for slowly changing dimensions</t>
  </si>
  <si>
    <t>Forecast inputs, historical demand</t>
  </si>
  <si>
    <t>3.8</t>
  </si>
  <si>
    <t>Data lineage mapping across all 6 domain products</t>
  </si>
  <si>
    <t>Governance Lead</t>
  </si>
  <si>
    <t>Unity Catalog lineage, column-level impact analysis</t>
  </si>
  <si>
    <t>Replaces 5 manual weekly Excel reports</t>
  </si>
  <si>
    <t>4.0</t>
  </si>
  <si>
    <t>Analytics, BI &amp; ML Platform</t>
  </si>
  <si>
    <t>2-3</t>
  </si>
  <si>
    <t>Analytics + ML Pod</t>
  </si>
  <si>
    <t>Embedded training workstream</t>
  </si>
  <si>
    <t>4.1</t>
  </si>
  <si>
    <t>BI connectivity + semantic layer (Power BI / Tableau)</t>
  </si>
  <si>
    <t>BI Developer</t>
  </si>
  <si>
    <t>SQL basics, Databricks SQL UI, certified datasets</t>
  </si>
  <si>
    <t>4.2</t>
  </si>
  <si>
    <t>Analyst + Data Scientist</t>
  </si>
  <si>
    <t>Demand, inventory, supplier, logistics, margin</t>
  </si>
  <si>
    <t>Governance tools, ownership, quality gates</t>
  </si>
  <si>
    <t>4.3</t>
  </si>
  <si>
    <t>3</t>
  </si>
  <si>
    <t>ML Engineer</t>
  </si>
  <si>
    <t>AutoML, feature engineering, model consumption</t>
  </si>
  <si>
    <t>4.4</t>
  </si>
  <si>
    <t>Demand forecasting + margin analytics models</t>
  </si>
  <si>
    <t>Data Scientist</t>
  </si>
  <si>
    <t>Runbooks, standards, CoE governance model</t>
  </si>
  <si>
    <t>4.5</t>
  </si>
  <si>
    <t>Digital signal to shelf offtake attribution model</t>
  </si>
  <si>
    <t>End-of-programme handover</t>
  </si>
  <si>
    <t>4.6</t>
  </si>
  <si>
    <t>Power BI Direct Lake, certified dataset governance</t>
  </si>
  <si>
    <t>Structured KT workshops with client team</t>
  </si>
  <si>
    <t>4.7</t>
  </si>
  <si>
    <t>ML Feature Store setup + feature engineering pipelines</t>
  </si>
  <si>
    <t>Feature definitions, versioning, online/offline serving</t>
  </si>
  <si>
    <t>Platform ops, incident playbooks</t>
  </si>
  <si>
    <t>4.8</t>
  </si>
  <si>
    <t>Lakehouse Monitoring, retraining triggers</t>
  </si>
  <si>
    <t>Triage, bug fixes, performance tuning</t>
  </si>
  <si>
    <t>4.9</t>
  </si>
  <si>
    <t>Dashboard UAT, sign-off &amp; hypercare (all BI workstreams)</t>
  </si>
  <si>
    <t>Client UAT support, defect resolution, go-live prep</t>
  </si>
  <si>
    <t>5.0</t>
  </si>
  <si>
    <t>Governance, Security &amp; Compliance</t>
  </si>
  <si>
    <t>1-3</t>
  </si>
  <si>
    <t>5.1</t>
  </si>
  <si>
    <t>Unity Catalog RBAC, masking, tagging setup</t>
  </si>
  <si>
    <t>5.2</t>
  </si>
  <si>
    <t>5.3</t>
  </si>
  <si>
    <t>5.4</t>
  </si>
  <si>
    <t>Data classification &amp; sensitivity tagging (all domains)</t>
  </si>
  <si>
    <t>PII, confidential, public tags via Unity Catalog</t>
  </si>
  <si>
    <t>5.5</t>
  </si>
  <si>
    <t>Data product SLA &amp; chargeback instrumentation</t>
  </si>
  <si>
    <t>DBU metering per BU, S3 cost allocation tagging</t>
  </si>
  <si>
    <t>5.6</t>
  </si>
  <si>
    <t>Audit logging, access reviews &amp; compliance reporting</t>
  </si>
  <si>
    <t>Monthly access reports, GDPR audit trail</t>
  </si>
  <si>
    <t>5.7</t>
  </si>
  <si>
    <t>Data Mesh operating model documentation &amp; playbooks</t>
  </si>
  <si>
    <t>Domain ownership, data product contracts, RACI</t>
  </si>
  <si>
    <t>6.0</t>
  </si>
  <si>
    <t>BI Developer + DE</t>
  </si>
  <si>
    <t>6.1</t>
  </si>
  <si>
    <t>Supply Chain domain Bronze + Silver ingest</t>
  </si>
  <si>
    <t>6.2</t>
  </si>
  <si>
    <t>Demand domain Bronze + Silver ingest</t>
  </si>
  <si>
    <t>6.3</t>
  </si>
  <si>
    <t>7.0</t>
  </si>
  <si>
    <t>Capability Building</t>
  </si>
  <si>
    <t>7.1</t>
  </si>
  <si>
    <t>7.2</t>
  </si>
  <si>
    <t>Data Steward certification programme</t>
  </si>
  <si>
    <t>7.3</t>
  </si>
  <si>
    <t>7.4</t>
  </si>
  <si>
    <t>Centre of Excellence handover + documentation</t>
  </si>
  <si>
    <t>7.5</t>
  </si>
  <si>
    <t>Change management &amp; stakeholder comms programme</t>
  </si>
  <si>
    <t>Comms plan, exec updates, user adoption tracking</t>
  </si>
  <si>
    <t>7.6</t>
  </si>
  <si>
    <t>Data literacy baseline assessment &amp; gap analysis</t>
  </si>
  <si>
    <t>Skills assessment across 3 divisions, training roadmap</t>
  </si>
  <si>
    <t>8.0</t>
  </si>
  <si>
    <t>KT, Hypercare &amp; Runbooks</t>
  </si>
  <si>
    <t>All Leads</t>
  </si>
  <si>
    <t>8.1</t>
  </si>
  <si>
    <t>Knowledge transfer sessions (all workstreams)</t>
  </si>
  <si>
    <t>8.2</t>
  </si>
  <si>
    <t>Runbook + operational documentation</t>
  </si>
  <si>
    <t>8.3</t>
  </si>
  <si>
    <t>8.4</t>
  </si>
  <si>
    <t>Incident playbooks, on-call procedures, SLA mgmt</t>
  </si>
  <si>
    <t>8.5</t>
  </si>
  <si>
    <t>L2/L3 support, performance tuning, user queries</t>
  </si>
  <si>
    <t>8.6</t>
  </si>
  <si>
    <t>Post-implementation review &amp; optimisation recommendations</t>
  </si>
  <si>
    <t>PIR report, Phase 4 roadmap recommendations</t>
  </si>
  <si>
    <t>WBS TOTAL</t>
  </si>
  <si>
    <t>All 53 deliverable work packages</t>
  </si>
  <si>
    <t>excl. overhead &amp; buffer</t>
  </si>
  <si>
    <t>Component</t>
  </si>
  <si>
    <t>Person-days</t>
  </si>
  <si>
    <t>Rate ($/pd)</t>
  </si>
  <si>
    <t>Cost ($)</t>
  </si>
  <si>
    <t>Explanation</t>
  </si>
  <si>
    <t>WBS deliverable effort</t>
  </si>
  <si>
    <t>Programme overhead</t>
  </si>
  <si>
    <t>5% buffer on total deliverable + overhead effort</t>
  </si>
  <si>
    <t>TOTAL PROGRAMME COST</t>
  </si>
  <si>
    <t>Phase Summary total  |  Blended $464/pd  |  83% offshore / 17% onshore</t>
  </si>
  <si>
    <t>Phase Cost &amp; Effort Summary</t>
  </si>
  <si>
    <t>All values flow from WBS Detail and Assumptions sheets</t>
  </si>
  <si>
    <t>Metric</t>
  </si>
  <si>
    <t>Buffer</t>
  </si>
  <si>
    <t>Peak FTE (total)</t>
  </si>
  <si>
    <t>Coordination buffer (pd)</t>
  </si>
  <si>
    <t>Total effort incl. buffer (pd)</t>
  </si>
  <si>
    <t>Phase cost ($)</t>
  </si>
  <si>
    <t>Engagement model:  Phase 1 = Fixed Price  |  Phase 2 = T&amp;M  |  Phase 3 = T&amp;M  |  Blended rate = 80% offshore / 20% onshore at $58/hr ($464/pd)</t>
  </si>
  <si>
    <t>Work Breakdown Structure - Detailed Cost Model</t>
  </si>
  <si>
    <t>Security hardening - AWS WAF, GuardDuty, CloudTrail</t>
  </si>
  <si>
    <t>Multi-region HA - Active-Active across 2 AWS regions</t>
  </si>
  <si>
    <t>Monitoring &amp; alerting - Databricks Lakehouse Monitoring</t>
  </si>
  <si>
    <t>Historical data load - ~5 years backfill</t>
  </si>
  <si>
    <t>Streaming pipelines - Kinesis + DLT</t>
  </si>
  <si>
    <t>Bronze zone - raw ingestion layer</t>
  </si>
  <si>
    <t>Silver zone - cleanse, conform, deduplicate</t>
  </si>
  <si>
    <t>Gold zone - 6 domain data products</t>
  </si>
  <si>
    <t>Supply chain analytics - 5 use cases</t>
  </si>
  <si>
    <t>ML platform - MLflow + Feature Store + Model Serving</t>
  </si>
  <si>
    <t>e-Influence analytics domain - data product design &amp; build</t>
  </si>
  <si>
    <t>Self-serve SQL layer - certified dataset publishing</t>
  </si>
  <si>
    <t>Model monitoring &amp; drift detection - production MLOps</t>
  </si>
  <si>
    <t>Data Steward programme - onboarding + certification</t>
  </si>
  <si>
    <t>Compliance framework - GDPR, CCPA, PDPA, PIPL, LGPD</t>
  </si>
  <si>
    <t>Quick Win - Supply Chain KPI Dashboard</t>
  </si>
  <si>
    <t>Power BI KPI dashboard - 5 report packs</t>
  </si>
  <si>
    <t>Self-serve SQL bootcamp - brand managers</t>
  </si>
  <si>
    <t>ML literacy programme - analytics teams</t>
  </si>
  <si>
    <t>Hypercare support - first 30 days post go-live</t>
  </si>
  <si>
    <t>Platform operations handover - runbooks &amp; SOP library</t>
  </si>
  <si>
    <t>Production support - 60-day hypercare window</t>
  </si>
  <si>
    <t>PROGRAMME COST RECONCILIATION  -  How WBS cost builds to total programme cost</t>
  </si>
  <si>
    <t>53 defined work packages - full deliverable scope</t>
  </si>
  <si>
    <t>Agile ceremonies, code reviews, deployment, team management (12.0% of deliverables - industry standard 10-15%)</t>
  </si>
  <si>
    <t>Effort - deliverables (pd)</t>
  </si>
  <si>
    <t>Coordination buffer (5%) (pd)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</si>
</sst>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A0B4C8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A2332"/>
      <name val="Arial"/>
      <charset val="1"/>
    </font>
    <font>
      <sz val="10"/>
      <color rgb="FF0000FF"/>
      <name val="Arial"/>
      <charset val="1"/>
    </font>
    <font>
      <sz val="10"/>
      <color rgb="FF4A5568"/>
      <name val="Arial"/>
      <charset val="1"/>
    </font>
    <font>
      <sz val="10"/>
      <color rgb="FF000000"/>
      <name val="Arial"/>
      <charset val="1"/>
    </font>
    <font>
      <sz val="8"/>
      <color rgb="FF4A5568"/>
      <name val="Arial"/>
      <charset val="1"/>
    </font>
    <font>
      <b/>
      <sz val="9"/>
      <color rgb="FF1A2332"/>
      <name val="Arial"/>
      <charset val="1"/>
    </font>
    <font>
      <b/>
      <sz val="10"/>
      <color rgb="FF1E6B45"/>
      <name val="Arial"/>
      <charset val="1"/>
    </font>
    <font>
      <b/>
      <sz val="10"/>
      <color rgb="FF1A2332"/>
      <name val="Arial"/>
      <charset val="1"/>
    </font>
    <font>
      <b/>
      <sz val="10"/>
      <color rgb="FF1A6BAE"/>
      <name val="Arial"/>
      <charset val="1"/>
    </font>
    <font>
      <b/>
      <sz val="9"/>
      <color rgb="FF1A6BAE"/>
      <name val="Arial"/>
      <charset val="1"/>
    </font>
    <font>
      <b/>
      <sz val="9"/>
      <color rgb="FF000000"/>
      <name val="Arial"/>
      <charset val="1"/>
    </font>
    <font>
      <sz val="9"/>
      <color rgb="FF4A5568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i/>
      <sz val="9"/>
      <color rgb="FF4A5568"/>
      <name val="Arial"/>
      <charset val="1"/>
    </font>
    <font>
      <i/>
      <sz val="9"/>
      <color rgb="FF000000"/>
      <name val="Arial"/>
      <charset val="1"/>
    </font>
    <font>
      <sz val="9"/>
      <color rgb="FFFFFFFF"/>
      <name val="Arial"/>
      <charset val="1"/>
    </font>
    <font>
      <sz val="9"/>
      <color rgb="FFA0B4C8"/>
      <name val="Arial"/>
      <charset val="1"/>
    </font>
    <font>
      <i/>
      <sz val="8"/>
      <color rgb="FF4A5568"/>
      <name val="Arial"/>
      <charset val="1"/>
    </font>
    <font>
      <b/>
      <sz val="8"/>
      <color rgb="FF2E7D32"/>
      <name val="Arial"/>
      <charset val="1"/>
    </font>
    <font>
      <sz val="10"/>
      <color rgb="FF1A2332"/>
      <name val="Arial"/>
      <charset val="1"/>
    </font>
    <font>
      <b/>
      <sz val="10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F2340"/>
        <bgColor rgb="FF1A2332"/>
      </patternFill>
    </fill>
    <fill>
      <patternFill patternType="solid">
        <fgColor rgb="FF1E3A5F"/>
        <bgColor rgb="FF0C447C"/>
      </patternFill>
    </fill>
    <fill>
      <patternFill patternType="solid">
        <fgColor rgb="FF1A6BAE"/>
        <bgColor rgb="FF008080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  <fill>
      <patternFill patternType="solid">
        <fgColor rgb="FF1E6B45"/>
        <bgColor rgb="FF2E7D32"/>
      </patternFill>
    </fill>
    <fill>
      <patternFill patternType="solid">
        <fgColor rgb="FFEBF7EF"/>
        <bgColor rgb="FFEBF4FF"/>
      </patternFill>
    </fill>
    <fill>
      <patternFill patternType="solid">
        <fgColor rgb="FFFFF8EE"/>
        <bgColor rgb="FFF9FAFB"/>
      </patternFill>
    </fill>
    <fill>
      <patternFill patternType="solid">
        <fgColor rgb="FFEBF4FF"/>
        <bgColor rgb="FFE6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164" fontId="8" fillId="5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left" vertical="center" wrapText="1"/>
    </xf>
    <xf numFmtId="164" fontId="8" fillId="6" borderId="0" xfId="0" applyNumberFormat="1" applyFont="1" applyFill="1" applyAlignment="1">
      <alignment horizontal="right" vertical="center"/>
    </xf>
    <xf numFmtId="0" fontId="0" fillId="5" borderId="0" xfId="0" applyFill="1"/>
    <xf numFmtId="0" fontId="0" fillId="6" borderId="0" xfId="0" applyFill="1"/>
    <xf numFmtId="0" fontId="10" fillId="8" borderId="0" xfId="0" applyFont="1" applyFill="1" applyAlignment="1">
      <alignment horizontal="left" vertical="center" wrapText="1"/>
    </xf>
    <xf numFmtId="165" fontId="11" fillId="8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right" vertical="center"/>
    </xf>
    <xf numFmtId="3" fontId="8" fillId="6" borderId="0" xfId="0" applyNumberFormat="1" applyFont="1" applyFill="1" applyAlignment="1">
      <alignment horizontal="right" vertical="center"/>
    </xf>
    <xf numFmtId="0" fontId="5" fillId="9" borderId="0" xfId="0" applyFont="1" applyFill="1" applyAlignment="1">
      <alignment horizontal="left" vertical="center" wrapText="1"/>
    </xf>
    <xf numFmtId="3" fontId="8" fillId="9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horizontal="left" vertical="center" wrapText="1"/>
    </xf>
    <xf numFmtId="3" fontId="11" fillId="8" borderId="0" xfId="0" applyNumberFormat="1" applyFont="1" applyFill="1" applyAlignment="1">
      <alignment horizontal="right" vertical="center"/>
    </xf>
    <xf numFmtId="0" fontId="12" fillId="10" borderId="0" xfId="0" applyFont="1" applyFill="1" applyAlignment="1">
      <alignment horizontal="left" vertical="center" wrapText="1"/>
    </xf>
    <xf numFmtId="164" fontId="13" fillId="10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 wrapText="1"/>
    </xf>
    <xf numFmtId="49" fontId="14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left" vertical="center" wrapText="1"/>
    </xf>
    <xf numFmtId="0" fontId="16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left" vertical="center" wrapText="1"/>
    </xf>
    <xf numFmtId="164" fontId="14" fillId="10" borderId="0" xfId="0" applyNumberFormat="1" applyFont="1" applyFill="1" applyAlignment="1">
      <alignment horizontal="right" vertical="center"/>
    </xf>
    <xf numFmtId="164" fontId="19" fillId="10" borderId="0" xfId="0" applyNumberFormat="1" applyFont="1" applyFill="1" applyAlignment="1">
      <alignment horizontal="left" vertical="center" wrapText="1"/>
    </xf>
    <xf numFmtId="49" fontId="16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 wrapText="1" indent="2"/>
    </xf>
    <xf numFmtId="0" fontId="16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left" vertical="center" wrapText="1"/>
    </xf>
    <xf numFmtId="3" fontId="18" fillId="5" borderId="0" xfId="0" applyNumberFormat="1" applyFont="1" applyFill="1" applyAlignment="1">
      <alignment horizontal="center" vertical="center"/>
    </xf>
    <xf numFmtId="3" fontId="17" fillId="5" borderId="0" xfId="0" applyNumberFormat="1" applyFont="1" applyFill="1" applyAlignment="1">
      <alignment horizontal="center" vertical="center"/>
    </xf>
    <xf numFmtId="164" fontId="17" fillId="5" borderId="0" xfId="0" applyNumberFormat="1" applyFont="1" applyFill="1" applyAlignment="1">
      <alignment horizontal="right" vertical="center"/>
    </xf>
    <xf numFmtId="164" fontId="19" fillId="5" borderId="0" xfId="0" applyNumberFormat="1" applyFont="1" applyFill="1" applyAlignment="1">
      <alignment horizontal="left" vertical="center" wrapText="1"/>
    </xf>
    <xf numFmtId="49" fontId="16" fillId="6" borderId="0" xfId="0" applyNumberFormat="1" applyFont="1" applyFill="1" applyAlignment="1">
      <alignment horizontal="center" vertical="center"/>
    </xf>
    <xf numFmtId="0" fontId="17" fillId="6" borderId="0" xfId="0" applyFont="1" applyFill="1" applyAlignment="1">
      <alignment horizontal="left" vertical="center" wrapText="1" indent="2"/>
    </xf>
    <xf numFmtId="0" fontId="1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left" vertical="center" wrapText="1"/>
    </xf>
    <xf numFmtId="164" fontId="17" fillId="6" borderId="0" xfId="0" applyNumberFormat="1" applyFont="1" applyFill="1" applyAlignment="1">
      <alignment horizontal="right" vertical="center"/>
    </xf>
    <xf numFmtId="164" fontId="19" fillId="6" borderId="0" xfId="0" applyNumberFormat="1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14" fillId="10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 wrapText="1"/>
    </xf>
    <xf numFmtId="3" fontId="17" fillId="6" borderId="0" xfId="0" applyNumberFormat="1" applyFont="1" applyFill="1" applyAlignment="1">
      <alignment horizontal="left" vertical="center" wrapText="1" indent="2"/>
    </xf>
    <xf numFmtId="165" fontId="16" fillId="6" borderId="0" xfId="0" applyNumberFormat="1" applyFont="1" applyFill="1" applyAlignment="1">
      <alignment horizontal="center" vertical="center"/>
    </xf>
    <xf numFmtId="164" fontId="20" fillId="6" borderId="0" xfId="0" applyNumberFormat="1" applyFont="1" applyFill="1" applyAlignment="1">
      <alignment horizontal="left" vertical="center" wrapText="1"/>
    </xf>
    <xf numFmtId="3" fontId="17" fillId="5" borderId="0" xfId="0" applyNumberFormat="1" applyFont="1" applyFill="1" applyAlignment="1">
      <alignment horizontal="left" vertical="center" wrapText="1" indent="2"/>
    </xf>
    <xf numFmtId="165" fontId="16" fillId="5" borderId="0" xfId="0" applyNumberFormat="1" applyFont="1" applyFill="1" applyAlignment="1">
      <alignment horizontal="center" vertical="center"/>
    </xf>
    <xf numFmtId="164" fontId="20" fillId="5" borderId="0" xfId="0" applyNumberFormat="1" applyFont="1" applyFill="1" applyAlignment="1">
      <alignment horizontal="left" vertical="center" wrapText="1"/>
    </xf>
    <xf numFmtId="0" fontId="19" fillId="10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21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right" vertical="center" wrapText="1"/>
    </xf>
    <xf numFmtId="0" fontId="22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65" fontId="17" fillId="5" borderId="0" xfId="0" applyNumberFormat="1" applyFont="1" applyFill="1" applyAlignment="1">
      <alignment horizontal="center" vertical="center"/>
    </xf>
    <xf numFmtId="0" fontId="23" fillId="5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/>
    </xf>
    <xf numFmtId="3" fontId="17" fillId="9" borderId="0" xfId="0" applyNumberFormat="1" applyFont="1" applyFill="1" applyAlignment="1">
      <alignment horizontal="center" vertical="center"/>
    </xf>
    <xf numFmtId="165" fontId="17" fillId="9" borderId="0" xfId="0" applyNumberFormat="1" applyFont="1" applyFill="1" applyAlignment="1">
      <alignment horizontal="center" vertical="center"/>
    </xf>
    <xf numFmtId="164" fontId="17" fillId="9" borderId="0" xfId="0" applyNumberFormat="1" applyFont="1" applyFill="1" applyAlignment="1">
      <alignment horizontal="right" vertical="center"/>
    </xf>
    <xf numFmtId="0" fontId="23" fillId="9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horizontal="left" vertical="center"/>
    </xf>
    <xf numFmtId="3" fontId="11" fillId="8" borderId="0" xfId="0" applyNumberFormat="1" applyFont="1" applyFill="1" applyAlignment="1">
      <alignment horizontal="center" vertical="center"/>
    </xf>
    <xf numFmtId="164" fontId="11" fillId="8" borderId="0" xfId="0" applyNumberFormat="1" applyFont="1" applyFill="1" applyAlignment="1">
      <alignment horizontal="right" vertical="center"/>
    </xf>
    <xf numFmtId="0" fontId="24" fillId="8" borderId="0" xfId="0" applyFont="1" applyFill="1" applyAlignment="1">
      <alignment horizontal="left" vertical="center" wrapText="1"/>
    </xf>
    <xf numFmtId="0" fontId="25" fillId="5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3" fontId="8" fillId="5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3" fontId="13" fillId="10" borderId="0" xfId="0" applyNumberFormat="1" applyFont="1" applyFill="1" applyAlignment="1">
      <alignment vertical="center"/>
    </xf>
    <xf numFmtId="3" fontId="8" fillId="10" borderId="0" xfId="0" applyNumberFormat="1" applyFont="1" applyFill="1" applyAlignment="1">
      <alignment vertical="center"/>
    </xf>
    <xf numFmtId="164" fontId="13" fillId="10" borderId="0" xfId="0" applyNumberFormat="1" applyFont="1" applyFill="1" applyAlignment="1">
      <alignment vertical="center"/>
    </xf>
    <xf numFmtId="164" fontId="26" fillId="10" borderId="0" xfId="0" applyNumberFormat="1" applyFont="1" applyFill="1" applyAlignment="1">
      <alignment vertical="center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3" fontId="6" fillId="5" borderId="0" xfId="0" applyNumberFormat="1" applyFont="1" applyFill="1" applyAlignment="1">
      <alignment horizontal="right" vertical="center"/>
    </xf>
    <xf numFmtId="3" fontId="6" fillId="6" borderId="0" xfId="0" applyNumberFormat="1" applyFont="1" applyFill="1" applyAlignment="1">
      <alignment horizontal="right" vertical="center"/>
    </xf>
    <xf numFmtId="165" fontId="8" fillId="5" borderId="0" xfId="0" applyNumberFormat="1" applyFont="1" applyFill="1" applyAlignment="1">
      <alignment horizontal="right" vertical="center"/>
    </xf>
    <xf numFmtId="165" fontId="8" fillId="6" borderId="0" xfId="0" applyNumberFormat="1" applyFont="1" applyFill="1" applyAlignment="1">
      <alignment horizontal="right" vertical="center"/>
    </xf>
    <xf numFmtId="165" fontId="11" fillId="8" borderId="0" xfId="0" applyNumberFormat="1" applyFont="1" applyFill="1" applyAlignment="1">
      <alignment horizontal="right" vertical="center"/>
    </xf>
    <xf numFmtId="164" fontId="6" fillId="5" borderId="0" xfId="0" applyNumberFormat="1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164" fontId="6" fillId="6" borderId="0" xfId="0" applyNumberFormat="1" applyFont="1" applyFill="1" applyAlignment="1">
      <alignment horizontal="right" vertical="center"/>
    </xf>
    <xf numFmtId="9" fontId="6" fillId="5" borderId="0" xfId="0" applyNumberFormat="1" applyFont="1" applyFill="1" applyAlignment="1">
      <alignment horizontal="right"/>
    </xf>
    <xf numFmtId="9" fontId="18" fillId="10" borderId="0" xfId="0" applyNumberFormat="1" applyFont="1" applyFill="1" applyAlignment="1">
      <alignment horizontal="right" vertical="center"/>
    </xf>
    <xf numFmtId="3" fontId="15" fillId="10" borderId="0" xfId="0" applyNumberFormat="1" applyFont="1" applyFill="1" applyAlignment="1">
      <alignment horizontal="right" vertical="center"/>
    </xf>
    <xf numFmtId="3" fontId="17" fillId="10" borderId="0" xfId="0" applyNumberFormat="1" applyFont="1" applyFill="1" applyAlignment="1">
      <alignment horizontal="right" vertical="center"/>
    </xf>
    <xf numFmtId="9" fontId="18" fillId="5" borderId="0" xfId="0" applyNumberFormat="1" applyFont="1" applyFill="1" applyAlignment="1">
      <alignment horizontal="right" vertical="center"/>
    </xf>
    <xf numFmtId="3" fontId="18" fillId="5" borderId="0" xfId="0" applyNumberFormat="1" applyFont="1" applyFill="1" applyAlignment="1">
      <alignment horizontal="right" vertical="center"/>
    </xf>
    <xf numFmtId="3" fontId="17" fillId="5" borderId="0" xfId="0" applyNumberFormat="1" applyFont="1" applyFill="1" applyAlignment="1">
      <alignment horizontal="right" vertical="center"/>
    </xf>
    <xf numFmtId="9" fontId="18" fillId="6" borderId="0" xfId="0" applyNumberFormat="1" applyFont="1" applyFill="1" applyAlignment="1">
      <alignment horizontal="right" vertical="center"/>
    </xf>
    <xf numFmtId="3" fontId="18" fillId="6" borderId="0" xfId="0" applyNumberFormat="1" applyFont="1" applyFill="1" applyAlignment="1">
      <alignment horizontal="right" vertical="center"/>
    </xf>
    <xf numFmtId="3" fontId="17" fillId="6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/>
    </xf>
    <xf numFmtId="9" fontId="4" fillId="3" borderId="0" xfId="0" applyNumberFormat="1" applyFont="1" applyFill="1" applyAlignment="1">
      <alignment horizontal="right" vertical="center" wrapText="1"/>
    </xf>
    <xf numFmtId="3" fontId="4" fillId="3" borderId="0" xfId="0" applyNumberFormat="1" applyFont="1" applyFill="1" applyAlignment="1">
      <alignment horizontal="right" vertical="center" wrapText="1"/>
    </xf>
    <xf numFmtId="0" fontId="3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5"/>
      <rgbColor rgb="FFA0B4C8"/>
      <rgbColor rgb="FF808080"/>
      <rgbColor rgb="FF9999FF"/>
      <rgbColor rgb="FF993366"/>
      <rgbColor rgb="FFFFF8EE"/>
      <rgbColor rgb="FFE6F1FB"/>
      <rgbColor rgb="FF660066"/>
      <rgbColor rgb="FFFF8080"/>
      <rgbColor rgb="FF1A6BA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7EF"/>
      <rgbColor rgb="FFEBF4FF"/>
      <rgbColor rgb="FFF9FAF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C447C"/>
      <rgbColor rgb="FF2E7D32"/>
      <rgbColor rgb="FF0F2340"/>
      <rgbColor rgb="FF333300"/>
      <rgbColor rgb="FF7C3A00"/>
      <rgbColor rgb="FF993366"/>
      <rgbColor rgb="FF1E3A5F"/>
      <rgbColor rgb="FF1A2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showGridLines="0" tabSelected="1" zoomScaleNormal="100" workbookViewId="0">
      <pane ySplit="3" topLeftCell="A4" activePane="bottomLeft" state="frozen"/>
      <selection pane="bottomLeft" activeCell="M15" sqref="M15"/>
    </sheetView>
  </sheetViews>
  <sheetFormatPr defaultColWidth="8.7109375" defaultRowHeight="15" x14ac:dyDescent="0.25"/>
  <cols>
    <col min="1" max="1" width="36" customWidth="1"/>
    <col min="2" max="5" width="18" customWidth="1"/>
    <col min="6" max="6" width="28" customWidth="1"/>
  </cols>
  <sheetData>
    <row r="1" spans="1:6" ht="30" customHeight="1" x14ac:dyDescent="0.25">
      <c r="A1" s="99" t="s">
        <v>0</v>
      </c>
      <c r="B1" s="99"/>
      <c r="C1" s="99"/>
      <c r="D1" s="99"/>
      <c r="E1" s="99"/>
      <c r="F1" s="99"/>
    </row>
    <row r="2" spans="1:6" ht="18" customHeight="1" x14ac:dyDescent="0.25">
      <c r="A2" s="100" t="s">
        <v>1</v>
      </c>
      <c r="B2" s="100"/>
      <c r="C2" s="100"/>
      <c r="D2" s="100"/>
      <c r="E2" s="100"/>
      <c r="F2" s="100"/>
    </row>
    <row r="3" spans="1:6" ht="7.5" customHeight="1" x14ac:dyDescent="0.25"/>
    <row r="4" spans="1:6" ht="19.5" customHeight="1" x14ac:dyDescent="0.25">
      <c r="A4" s="98" t="s">
        <v>2</v>
      </c>
      <c r="B4" s="98"/>
      <c r="C4" s="98"/>
      <c r="D4" s="98"/>
      <c r="E4" s="98"/>
      <c r="F4" s="98"/>
    </row>
    <row r="5" spans="1:6" ht="18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16.5" customHeight="1" x14ac:dyDescent="0.25">
      <c r="A6" s="2" t="s">
        <v>9</v>
      </c>
      <c r="B6" s="82">
        <v>195</v>
      </c>
      <c r="C6" s="83" t="s">
        <v>10</v>
      </c>
      <c r="D6" s="3">
        <f t="shared" ref="D6:D12" si="0">B6*8</f>
        <v>1560</v>
      </c>
      <c r="E6" s="83" t="s">
        <v>10</v>
      </c>
      <c r="F6" s="75" t="s">
        <v>11</v>
      </c>
    </row>
    <row r="7" spans="1:6" ht="16.5" customHeight="1" x14ac:dyDescent="0.25">
      <c r="A7" s="4" t="s">
        <v>12</v>
      </c>
      <c r="B7" s="84">
        <v>175</v>
      </c>
      <c r="C7" s="84">
        <v>68</v>
      </c>
      <c r="D7" s="5">
        <f t="shared" si="0"/>
        <v>1400</v>
      </c>
      <c r="E7" s="5">
        <f t="shared" ref="E7:E12" si="1">C7*8</f>
        <v>544</v>
      </c>
      <c r="F7" s="76"/>
    </row>
    <row r="8" spans="1:6" ht="16.5" customHeight="1" x14ac:dyDescent="0.25">
      <c r="A8" s="2" t="s">
        <v>13</v>
      </c>
      <c r="B8" s="82">
        <v>145</v>
      </c>
      <c r="C8" s="82">
        <v>52</v>
      </c>
      <c r="D8" s="3">
        <f t="shared" si="0"/>
        <v>1160</v>
      </c>
      <c r="E8" s="3">
        <f t="shared" si="1"/>
        <v>416</v>
      </c>
      <c r="F8" s="75" t="s">
        <v>14</v>
      </c>
    </row>
    <row r="9" spans="1:6" ht="16.5" customHeight="1" x14ac:dyDescent="0.25">
      <c r="A9" s="4" t="s">
        <v>15</v>
      </c>
      <c r="B9" s="84">
        <v>115</v>
      </c>
      <c r="C9" s="84">
        <v>38</v>
      </c>
      <c r="D9" s="5">
        <f t="shared" si="0"/>
        <v>920</v>
      </c>
      <c r="E9" s="5">
        <f t="shared" si="1"/>
        <v>304</v>
      </c>
      <c r="F9" s="76"/>
    </row>
    <row r="10" spans="1:6" ht="16.5" customHeight="1" x14ac:dyDescent="0.25">
      <c r="A10" s="2" t="s">
        <v>16</v>
      </c>
      <c r="B10" s="82">
        <v>125</v>
      </c>
      <c r="C10" s="82">
        <v>42</v>
      </c>
      <c r="D10" s="3">
        <f t="shared" si="0"/>
        <v>1000</v>
      </c>
      <c r="E10" s="3">
        <f t="shared" si="1"/>
        <v>336</v>
      </c>
      <c r="F10" s="75"/>
    </row>
    <row r="11" spans="1:6" ht="16.5" customHeight="1" x14ac:dyDescent="0.25">
      <c r="A11" s="4" t="s">
        <v>17</v>
      </c>
      <c r="B11" s="84">
        <v>95</v>
      </c>
      <c r="C11" s="84">
        <v>30</v>
      </c>
      <c r="D11" s="5">
        <f t="shared" si="0"/>
        <v>760</v>
      </c>
      <c r="E11" s="5">
        <f t="shared" si="1"/>
        <v>240</v>
      </c>
      <c r="F11" s="76"/>
    </row>
    <row r="12" spans="1:6" ht="16.5" customHeight="1" x14ac:dyDescent="0.25">
      <c r="A12" s="2" t="s">
        <v>18</v>
      </c>
      <c r="B12" s="82">
        <v>85</v>
      </c>
      <c r="C12" s="82">
        <v>25</v>
      </c>
      <c r="D12" s="3">
        <f t="shared" si="0"/>
        <v>680</v>
      </c>
      <c r="E12" s="3">
        <f t="shared" si="1"/>
        <v>200</v>
      </c>
      <c r="F12" s="75"/>
    </row>
    <row r="14" spans="1:6" ht="19.5" customHeight="1" x14ac:dyDescent="0.25">
      <c r="A14" s="98" t="s">
        <v>19</v>
      </c>
      <c r="B14" s="98"/>
      <c r="C14" s="98"/>
      <c r="D14" s="98"/>
      <c r="E14" s="98"/>
      <c r="F14" s="98"/>
    </row>
    <row r="15" spans="1:6" ht="16.5" customHeight="1" x14ac:dyDescent="0.25">
      <c r="A15" s="2" t="s">
        <v>20</v>
      </c>
      <c r="B15" s="85">
        <v>0.83</v>
      </c>
      <c r="C15" s="6"/>
      <c r="D15" s="6"/>
      <c r="E15" s="6"/>
      <c r="F15" s="6"/>
    </row>
    <row r="16" spans="1:6" ht="16.5" customHeight="1" x14ac:dyDescent="0.25">
      <c r="A16" s="4" t="s">
        <v>21</v>
      </c>
      <c r="B16" s="85">
        <f>1-B15</f>
        <v>0.17000000000000004</v>
      </c>
      <c r="C16" s="7"/>
      <c r="D16" s="7"/>
      <c r="E16" s="7"/>
      <c r="F16" s="7"/>
    </row>
    <row r="17" spans="1:6" ht="16.5" customHeight="1" x14ac:dyDescent="0.25">
      <c r="A17" s="2" t="s">
        <v>22</v>
      </c>
      <c r="B17" s="77">
        <v>21</v>
      </c>
      <c r="C17" s="6"/>
      <c r="D17" s="6"/>
      <c r="E17" s="6"/>
      <c r="F17" s="6"/>
    </row>
    <row r="18" spans="1:6" ht="16.5" customHeight="1" x14ac:dyDescent="0.25">
      <c r="A18" s="4" t="s">
        <v>23</v>
      </c>
      <c r="B18" s="77">
        <v>8</v>
      </c>
      <c r="C18" s="7"/>
      <c r="D18" s="7"/>
      <c r="E18" s="7"/>
      <c r="F18" s="7"/>
    </row>
    <row r="19" spans="1:6" ht="16.5" customHeight="1" x14ac:dyDescent="0.25">
      <c r="A19" s="2" t="s">
        <v>24</v>
      </c>
      <c r="B19" s="85">
        <v>0.05</v>
      </c>
      <c r="C19" s="6"/>
      <c r="D19" s="6"/>
      <c r="E19" s="6"/>
      <c r="F19" s="6"/>
    </row>
    <row r="22" spans="1:6" ht="19.5" customHeight="1" x14ac:dyDescent="0.25">
      <c r="A22" s="101" t="s">
        <v>25</v>
      </c>
      <c r="B22" s="101"/>
      <c r="C22" s="101"/>
      <c r="D22" s="101"/>
      <c r="E22" s="101"/>
      <c r="F22" s="101"/>
    </row>
    <row r="23" spans="1:6" ht="16.5" customHeight="1" x14ac:dyDescent="0.25">
      <c r="A23" s="2" t="s">
        <v>26</v>
      </c>
      <c r="B23" s="79">
        <f>AVERAGE(B6:B12)</f>
        <v>133.57142857142858</v>
      </c>
    </row>
    <row r="24" spans="1:6" ht="16.5" customHeight="1" x14ac:dyDescent="0.25">
      <c r="A24" s="4" t="s">
        <v>27</v>
      </c>
      <c r="B24" s="80">
        <f>AVERAGEIF(C6:C12,"&gt;0")</f>
        <v>42.5</v>
      </c>
    </row>
    <row r="25" spans="1:6" ht="16.5" customHeight="1" x14ac:dyDescent="0.25">
      <c r="A25" s="2" t="s">
        <v>28</v>
      </c>
      <c r="B25" s="3">
        <f>B23*B18</f>
        <v>1068.5714285714287</v>
      </c>
    </row>
    <row r="26" spans="1:6" ht="16.5" customHeight="1" x14ac:dyDescent="0.25">
      <c r="A26" s="4" t="s">
        <v>29</v>
      </c>
      <c r="B26" s="5">
        <f>B24*B18</f>
        <v>340</v>
      </c>
    </row>
    <row r="27" spans="1:6" ht="16.5" customHeight="1" x14ac:dyDescent="0.25">
      <c r="A27" s="8" t="s">
        <v>30</v>
      </c>
      <c r="B27" s="81">
        <f>B16*B23+B15*B24</f>
        <v>57.982142857142861</v>
      </c>
    </row>
    <row r="28" spans="1:6" ht="16.5" customHeight="1" x14ac:dyDescent="0.25">
      <c r="A28" s="8" t="s">
        <v>31</v>
      </c>
      <c r="B28" s="64">
        <f>B16*B25+B15*B26</f>
        <v>463.85714285714289</v>
      </c>
    </row>
    <row r="30" spans="1:6" hidden="1" x14ac:dyDescent="0.25"/>
    <row r="31" spans="1:6" ht="19.5" hidden="1" customHeight="1" x14ac:dyDescent="0.25">
      <c r="A31" s="98" t="s">
        <v>32</v>
      </c>
      <c r="B31" s="98"/>
      <c r="C31" s="98"/>
      <c r="D31" s="98"/>
      <c r="E31" s="98"/>
      <c r="F31" s="98"/>
    </row>
    <row r="32" spans="1:6" ht="18" hidden="1" customHeight="1" x14ac:dyDescent="0.25">
      <c r="A32" s="1" t="s">
        <v>33</v>
      </c>
      <c r="B32" s="1" t="s">
        <v>34</v>
      </c>
      <c r="C32" s="1" t="s">
        <v>35</v>
      </c>
      <c r="D32" s="1" t="s">
        <v>36</v>
      </c>
      <c r="E32" s="1" t="s">
        <v>37</v>
      </c>
      <c r="F32" s="1"/>
    </row>
    <row r="33" spans="1:5" ht="16.5" hidden="1" customHeight="1" x14ac:dyDescent="0.25">
      <c r="A33" s="2" t="s">
        <v>38</v>
      </c>
      <c r="B33" s="77">
        <v>4</v>
      </c>
      <c r="C33" s="77">
        <v>6</v>
      </c>
      <c r="D33" s="77">
        <v>6</v>
      </c>
      <c r="E33" s="10">
        <f>SUM(B33:D33)</f>
        <v>16</v>
      </c>
    </row>
    <row r="34" spans="1:5" ht="16.5" hidden="1" customHeight="1" x14ac:dyDescent="0.25">
      <c r="A34" s="4" t="s">
        <v>39</v>
      </c>
      <c r="B34" s="78">
        <v>5</v>
      </c>
      <c r="C34" s="78">
        <v>4</v>
      </c>
      <c r="D34" s="78">
        <v>4</v>
      </c>
      <c r="E34" s="11">
        <f>SUM(B34:D34)</f>
        <v>13</v>
      </c>
    </row>
    <row r="35" spans="1:5" ht="16.5" hidden="1" customHeight="1" x14ac:dyDescent="0.25">
      <c r="A35" s="2" t="s">
        <v>40</v>
      </c>
      <c r="B35" s="77">
        <v>13</v>
      </c>
      <c r="C35" s="77">
        <v>18</v>
      </c>
      <c r="D35" s="77">
        <v>14</v>
      </c>
      <c r="E35" s="10">
        <f>SUM(B35:D35)</f>
        <v>45</v>
      </c>
    </row>
    <row r="36" spans="1:5" ht="16.5" hidden="1" customHeight="1" x14ac:dyDescent="0.25">
      <c r="A36" s="4" t="s">
        <v>41</v>
      </c>
      <c r="B36" s="11">
        <f>B34+B35</f>
        <v>18</v>
      </c>
      <c r="C36" s="11">
        <f>C34+C35</f>
        <v>22</v>
      </c>
      <c r="D36" s="11">
        <f>D34+D35</f>
        <v>18</v>
      </c>
      <c r="E36" s="11">
        <f>MAX(B36,C36,D36)</f>
        <v>22</v>
      </c>
    </row>
    <row r="37" spans="1:5" ht="16.5" hidden="1" customHeight="1" x14ac:dyDescent="0.25">
      <c r="A37" s="2" t="s">
        <v>42</v>
      </c>
      <c r="B37" s="77">
        <v>2100</v>
      </c>
      <c r="C37" s="77">
        <v>2900</v>
      </c>
      <c r="D37" s="77">
        <v>2300</v>
      </c>
      <c r="E37" s="10">
        <f>SUM(B37:D37)</f>
        <v>7300</v>
      </c>
    </row>
    <row r="38" spans="1:5" ht="16.5" hidden="1" customHeight="1" x14ac:dyDescent="0.25">
      <c r="A38" s="12" t="s">
        <v>286</v>
      </c>
      <c r="B38" s="13">
        <f>ROUND(B37*Assumptions!$B$19,0)</f>
        <v>105</v>
      </c>
      <c r="C38" s="13">
        <f>ROUND(C37*Assumptions!$B$19,0)</f>
        <v>145</v>
      </c>
      <c r="D38" s="13">
        <f>ROUND(D37*Assumptions!$B$19,0)</f>
        <v>115</v>
      </c>
      <c r="E38" s="13">
        <f>SUM(B38:D38)</f>
        <v>365</v>
      </c>
    </row>
    <row r="39" spans="1:5" ht="18" hidden="1" customHeight="1" x14ac:dyDescent="0.25">
      <c r="A39" s="14" t="s">
        <v>44</v>
      </c>
      <c r="B39" s="15">
        <f>B37+B38</f>
        <v>2205</v>
      </c>
      <c r="C39" s="15">
        <f>C37+C38</f>
        <v>3045</v>
      </c>
      <c r="D39" s="15">
        <f>D37+D38</f>
        <v>2415</v>
      </c>
      <c r="E39" s="15">
        <f>SUM(B39:D39)</f>
        <v>7665</v>
      </c>
    </row>
    <row r="40" spans="1:5" ht="18" hidden="1" customHeight="1" x14ac:dyDescent="0.25">
      <c r="A40" s="16" t="s">
        <v>45</v>
      </c>
      <c r="B40" s="17">
        <f>B39*Assumptions!$B$28</f>
        <v>1022805.0000000001</v>
      </c>
      <c r="C40" s="17">
        <f>C39*Assumptions!$B$28</f>
        <v>1412445</v>
      </c>
      <c r="D40" s="17">
        <f>D39*Assumptions!$B$28</f>
        <v>1120215</v>
      </c>
      <c r="E40" s="17">
        <f>SUM(B40:D40)</f>
        <v>3555465</v>
      </c>
    </row>
    <row r="41" spans="1:5" hidden="1" x14ac:dyDescent="0.25"/>
  </sheetData>
  <mergeCells count="6">
    <mergeCell ref="A31:F31"/>
    <mergeCell ref="A1:F1"/>
    <mergeCell ref="A2:F2"/>
    <mergeCell ref="A4:F4"/>
    <mergeCell ref="A14:F14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6"/>
  <sheetViews>
    <sheetView showGridLines="0" zoomScaleNormal="100" workbookViewId="0">
      <pane ySplit="4" topLeftCell="A45" activePane="bottomLeft" state="frozen"/>
      <selection pane="bottomLeft" activeCell="K64" sqref="K64"/>
    </sheetView>
  </sheetViews>
  <sheetFormatPr defaultColWidth="172" defaultRowHeight="15" x14ac:dyDescent="0.25"/>
  <cols>
    <col min="1" max="1" width="26.28515625" bestFit="1" customWidth="1"/>
    <col min="2" max="2" width="53.42578125" bestFit="1" customWidth="1"/>
    <col min="3" max="3" width="9.7109375" bestFit="1" customWidth="1"/>
    <col min="4" max="4" width="20.140625" bestFit="1" customWidth="1"/>
    <col min="5" max="5" width="8.140625" bestFit="1" customWidth="1"/>
    <col min="6" max="6" width="5.42578125" bestFit="1" customWidth="1"/>
    <col min="7" max="7" width="8" bestFit="1" customWidth="1"/>
    <col min="8" max="8" width="8.140625" bestFit="1" customWidth="1"/>
    <col min="9" max="9" width="13.42578125" bestFit="1" customWidth="1"/>
    <col min="10" max="10" width="85.28515625" bestFit="1" customWidth="1"/>
  </cols>
  <sheetData>
    <row r="1" spans="1:10" ht="30" customHeight="1" x14ac:dyDescent="0.25">
      <c r="A1" s="102" t="s">
        <v>259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18" customHeight="1" x14ac:dyDescent="0.25">
      <c r="A2" s="103" t="s">
        <v>46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ht="7.5" customHeight="1" x14ac:dyDescent="0.25"/>
    <row r="4" spans="1:10" ht="31.5" customHeight="1" x14ac:dyDescent="0.25">
      <c r="A4" s="18" t="s">
        <v>47</v>
      </c>
      <c r="B4" s="18" t="s">
        <v>48</v>
      </c>
      <c r="C4" s="18" t="s">
        <v>49</v>
      </c>
      <c r="D4" s="18" t="s">
        <v>50</v>
      </c>
      <c r="E4" s="18" t="s">
        <v>51</v>
      </c>
      <c r="F4" s="18" t="s">
        <v>52</v>
      </c>
      <c r="G4" s="18" t="s">
        <v>53</v>
      </c>
      <c r="H4" s="18" t="s">
        <v>54</v>
      </c>
      <c r="I4" s="18" t="s">
        <v>55</v>
      </c>
      <c r="J4" s="18" t="s">
        <v>8</v>
      </c>
    </row>
    <row r="5" spans="1:10" ht="18" customHeight="1" x14ac:dyDescent="0.25">
      <c r="A5" s="19" t="s">
        <v>56</v>
      </c>
      <c r="B5" s="20" t="s">
        <v>57</v>
      </c>
      <c r="C5" s="21" t="s">
        <v>58</v>
      </c>
      <c r="D5" s="22" t="s">
        <v>59</v>
      </c>
      <c r="E5" s="86">
        <v>0.7</v>
      </c>
      <c r="F5" s="87">
        <f>SUM(F6:F13)</f>
        <v>700</v>
      </c>
      <c r="G5" s="88">
        <f t="shared" ref="G5:G36" si="0">ROUND(F5*(1-E5),0)</f>
        <v>210</v>
      </c>
      <c r="H5" s="88">
        <f t="shared" ref="H5:H36" si="1">ROUND(F5*E5,0)</f>
        <v>490</v>
      </c>
      <c r="I5" s="23">
        <f>SUM(I6:I13)</f>
        <v>324700</v>
      </c>
      <c r="J5" s="24" t="s">
        <v>60</v>
      </c>
    </row>
    <row r="6" spans="1:10" ht="16.5" customHeight="1" x14ac:dyDescent="0.25">
      <c r="A6" s="25" t="s">
        <v>61</v>
      </c>
      <c r="B6" s="26" t="s">
        <v>62</v>
      </c>
      <c r="C6" s="27" t="s">
        <v>58</v>
      </c>
      <c r="D6" s="28" t="s">
        <v>59</v>
      </c>
      <c r="E6" s="89">
        <v>0.6</v>
      </c>
      <c r="F6" s="90">
        <v>80</v>
      </c>
      <c r="G6" s="91">
        <f t="shared" si="0"/>
        <v>32</v>
      </c>
      <c r="H6" s="91">
        <f t="shared" si="1"/>
        <v>48</v>
      </c>
      <c r="I6" s="31">
        <f>F6*Assumptions!$B$28</f>
        <v>37108.571428571435</v>
      </c>
      <c r="J6" s="32" t="s">
        <v>63</v>
      </c>
    </row>
    <row r="7" spans="1:10" ht="16.5" customHeight="1" x14ac:dyDescent="0.25">
      <c r="A7" s="33" t="s">
        <v>64</v>
      </c>
      <c r="B7" s="34" t="s">
        <v>65</v>
      </c>
      <c r="C7" s="35" t="s">
        <v>58</v>
      </c>
      <c r="D7" s="36" t="s">
        <v>66</v>
      </c>
      <c r="E7" s="92">
        <v>0.8</v>
      </c>
      <c r="F7" s="93">
        <v>120</v>
      </c>
      <c r="G7" s="94">
        <f t="shared" si="0"/>
        <v>24</v>
      </c>
      <c r="H7" s="94">
        <f t="shared" si="1"/>
        <v>96</v>
      </c>
      <c r="I7" s="37">
        <f>F7*Assumptions!$B$28</f>
        <v>55662.857142857145</v>
      </c>
      <c r="J7" s="38" t="s">
        <v>67</v>
      </c>
    </row>
    <row r="8" spans="1:10" ht="16.5" customHeight="1" x14ac:dyDescent="0.25">
      <c r="A8" s="25" t="s">
        <v>68</v>
      </c>
      <c r="B8" s="26" t="s">
        <v>69</v>
      </c>
      <c r="C8" s="27" t="s">
        <v>58</v>
      </c>
      <c r="D8" s="28" t="s">
        <v>70</v>
      </c>
      <c r="E8" s="89">
        <v>0.85</v>
      </c>
      <c r="F8" s="90">
        <v>80</v>
      </c>
      <c r="G8" s="91">
        <f t="shared" si="0"/>
        <v>12</v>
      </c>
      <c r="H8" s="91">
        <f t="shared" si="1"/>
        <v>68</v>
      </c>
      <c r="I8" s="31">
        <f>F8*Assumptions!$B$28</f>
        <v>37108.571428571435</v>
      </c>
      <c r="J8" s="32" t="s">
        <v>71</v>
      </c>
    </row>
    <row r="9" spans="1:10" ht="16.5" customHeight="1" x14ac:dyDescent="0.25">
      <c r="A9" s="33" t="s">
        <v>72</v>
      </c>
      <c r="B9" s="34" t="s">
        <v>260</v>
      </c>
      <c r="C9" s="35" t="s">
        <v>58</v>
      </c>
      <c r="D9" s="36" t="s">
        <v>59</v>
      </c>
      <c r="E9" s="92">
        <v>0.8</v>
      </c>
      <c r="F9" s="93">
        <v>80</v>
      </c>
      <c r="G9" s="94">
        <f t="shared" si="0"/>
        <v>16</v>
      </c>
      <c r="H9" s="94">
        <f t="shared" si="1"/>
        <v>64</v>
      </c>
      <c r="I9" s="37">
        <f>F9*Assumptions!$B$28</f>
        <v>37108.571428571435</v>
      </c>
      <c r="J9" s="38" t="s">
        <v>73</v>
      </c>
    </row>
    <row r="10" spans="1:10" ht="16.5" customHeight="1" x14ac:dyDescent="0.25">
      <c r="A10" s="25" t="s">
        <v>75</v>
      </c>
      <c r="B10" s="26" t="s">
        <v>261</v>
      </c>
      <c r="C10" s="27" t="s">
        <v>58</v>
      </c>
      <c r="D10" s="28" t="s">
        <v>66</v>
      </c>
      <c r="E10" s="89">
        <v>0.75</v>
      </c>
      <c r="F10" s="90">
        <v>120</v>
      </c>
      <c r="G10" s="91">
        <f t="shared" si="0"/>
        <v>30</v>
      </c>
      <c r="H10" s="91">
        <f t="shared" si="1"/>
        <v>90</v>
      </c>
      <c r="I10" s="31">
        <f>F10*Assumptions!$B$28</f>
        <v>55662.857142857145</v>
      </c>
      <c r="J10" s="32" t="s">
        <v>76</v>
      </c>
    </row>
    <row r="11" spans="1:10" ht="16.5" customHeight="1" x14ac:dyDescent="0.25">
      <c r="A11" s="33" t="s">
        <v>78</v>
      </c>
      <c r="B11" s="34" t="s">
        <v>262</v>
      </c>
      <c r="C11" s="35" t="s">
        <v>58</v>
      </c>
      <c r="D11" s="36" t="s">
        <v>70</v>
      </c>
      <c r="E11" s="92">
        <v>0.85</v>
      </c>
      <c r="F11" s="93">
        <v>80</v>
      </c>
      <c r="G11" s="94">
        <f t="shared" si="0"/>
        <v>12</v>
      </c>
      <c r="H11" s="94">
        <f t="shared" si="1"/>
        <v>68</v>
      </c>
      <c r="I11" s="37">
        <f>F11*Assumptions!$B$28</f>
        <v>37108.571428571435</v>
      </c>
      <c r="J11" s="38" t="s">
        <v>79</v>
      </c>
    </row>
    <row r="12" spans="1:10" ht="16.5" customHeight="1" x14ac:dyDescent="0.25">
      <c r="A12" s="25" t="s">
        <v>81</v>
      </c>
      <c r="B12" s="26" t="s">
        <v>82</v>
      </c>
      <c r="C12" s="27" t="s">
        <v>58</v>
      </c>
      <c r="D12" s="28" t="s">
        <v>66</v>
      </c>
      <c r="E12" s="89">
        <v>0.8</v>
      </c>
      <c r="F12" s="90">
        <v>80</v>
      </c>
      <c r="G12" s="91">
        <f t="shared" si="0"/>
        <v>16</v>
      </c>
      <c r="H12" s="91">
        <f t="shared" si="1"/>
        <v>64</v>
      </c>
      <c r="I12" s="31">
        <f>F12*Assumptions!$B$28</f>
        <v>37108.571428571435</v>
      </c>
      <c r="J12" s="32" t="s">
        <v>83</v>
      </c>
    </row>
    <row r="13" spans="1:10" ht="16.5" customHeight="1" x14ac:dyDescent="0.25">
      <c r="A13" s="33" t="s">
        <v>85</v>
      </c>
      <c r="B13" s="34" t="s">
        <v>86</v>
      </c>
      <c r="C13" s="35" t="s">
        <v>58</v>
      </c>
      <c r="D13" s="36" t="s">
        <v>70</v>
      </c>
      <c r="E13" s="92">
        <v>0.85</v>
      </c>
      <c r="F13" s="93">
        <v>60</v>
      </c>
      <c r="G13" s="94">
        <f t="shared" si="0"/>
        <v>9</v>
      </c>
      <c r="H13" s="94">
        <f t="shared" si="1"/>
        <v>51</v>
      </c>
      <c r="I13" s="37">
        <f>F13*Assumptions!$B$28</f>
        <v>27831.428571428572</v>
      </c>
      <c r="J13" s="38" t="s">
        <v>87</v>
      </c>
    </row>
    <row r="14" spans="1:10" ht="18" customHeight="1" x14ac:dyDescent="0.25">
      <c r="A14" s="19" t="s">
        <v>89</v>
      </c>
      <c r="B14" s="20" t="s">
        <v>90</v>
      </c>
      <c r="C14" s="21" t="s">
        <v>91</v>
      </c>
      <c r="D14" s="22" t="s">
        <v>92</v>
      </c>
      <c r="E14" s="86">
        <v>0.85</v>
      </c>
      <c r="F14" s="87">
        <f>SUM(F15:F20)</f>
        <v>920</v>
      </c>
      <c r="G14" s="88">
        <f t="shared" si="0"/>
        <v>138</v>
      </c>
      <c r="H14" s="88">
        <f t="shared" si="1"/>
        <v>782</v>
      </c>
      <c r="I14" s="23">
        <f>SUM(I15:I20)</f>
        <v>426748.57142857154</v>
      </c>
      <c r="J14" s="24" t="s">
        <v>74</v>
      </c>
    </row>
    <row r="15" spans="1:10" ht="16.5" customHeight="1" x14ac:dyDescent="0.25">
      <c r="A15" s="25" t="s">
        <v>94</v>
      </c>
      <c r="B15" s="26" t="s">
        <v>95</v>
      </c>
      <c r="C15" s="27" t="s">
        <v>58</v>
      </c>
      <c r="D15" s="28" t="s">
        <v>92</v>
      </c>
      <c r="E15" s="89">
        <v>0.85</v>
      </c>
      <c r="F15" s="90">
        <v>180</v>
      </c>
      <c r="G15" s="91">
        <f t="shared" si="0"/>
        <v>27</v>
      </c>
      <c r="H15" s="91">
        <f t="shared" si="1"/>
        <v>153</v>
      </c>
      <c r="I15" s="31">
        <f>F15*Assumptions!$B$28</f>
        <v>83494.285714285725</v>
      </c>
      <c r="J15" s="32" t="s">
        <v>77</v>
      </c>
    </row>
    <row r="16" spans="1:10" ht="16.5" customHeight="1" x14ac:dyDescent="0.25">
      <c r="A16" s="33" t="s">
        <v>97</v>
      </c>
      <c r="B16" s="34" t="s">
        <v>263</v>
      </c>
      <c r="C16" s="35" t="s">
        <v>58</v>
      </c>
      <c r="D16" s="36" t="s">
        <v>98</v>
      </c>
      <c r="E16" s="92">
        <v>0.9</v>
      </c>
      <c r="F16" s="93">
        <v>200</v>
      </c>
      <c r="G16" s="94">
        <f t="shared" si="0"/>
        <v>20</v>
      </c>
      <c r="H16" s="94">
        <f t="shared" si="1"/>
        <v>180</v>
      </c>
      <c r="I16" s="37">
        <f>F16*Assumptions!$B$28</f>
        <v>92771.42857142858</v>
      </c>
      <c r="J16" s="38" t="s">
        <v>80</v>
      </c>
    </row>
    <row r="17" spans="1:10" ht="16.5" customHeight="1" x14ac:dyDescent="0.25">
      <c r="A17" s="25" t="s">
        <v>100</v>
      </c>
      <c r="B17" s="26" t="s">
        <v>264</v>
      </c>
      <c r="C17" s="27" t="s">
        <v>101</v>
      </c>
      <c r="D17" s="28" t="s">
        <v>92</v>
      </c>
      <c r="E17" s="89">
        <v>0.85</v>
      </c>
      <c r="F17" s="90">
        <v>180</v>
      </c>
      <c r="G17" s="91">
        <f t="shared" si="0"/>
        <v>27</v>
      </c>
      <c r="H17" s="91">
        <f t="shared" si="1"/>
        <v>153</v>
      </c>
      <c r="I17" s="31">
        <f>F17*Assumptions!$B$28</f>
        <v>83494.285714285725</v>
      </c>
      <c r="J17" s="32" t="s">
        <v>84</v>
      </c>
    </row>
    <row r="18" spans="1:10" ht="16.5" customHeight="1" x14ac:dyDescent="0.25">
      <c r="A18" s="33" t="s">
        <v>103</v>
      </c>
      <c r="B18" s="34" t="s">
        <v>104</v>
      </c>
      <c r="C18" s="35" t="s">
        <v>58</v>
      </c>
      <c r="D18" s="36" t="s">
        <v>92</v>
      </c>
      <c r="E18" s="92">
        <v>0.85</v>
      </c>
      <c r="F18" s="93">
        <v>120</v>
      </c>
      <c r="G18" s="94">
        <f t="shared" si="0"/>
        <v>18</v>
      </c>
      <c r="H18" s="94">
        <f t="shared" si="1"/>
        <v>102</v>
      </c>
      <c r="I18" s="37">
        <f>F18*Assumptions!$B$28</f>
        <v>55662.857142857145</v>
      </c>
      <c r="J18" s="38" t="s">
        <v>105</v>
      </c>
    </row>
    <row r="19" spans="1:10" ht="16.5" customHeight="1" x14ac:dyDescent="0.25">
      <c r="A19" s="25" t="s">
        <v>107</v>
      </c>
      <c r="B19" s="26" t="s">
        <v>108</v>
      </c>
      <c r="C19" s="27" t="s">
        <v>58</v>
      </c>
      <c r="D19" s="28" t="s">
        <v>92</v>
      </c>
      <c r="E19" s="89">
        <v>0.85</v>
      </c>
      <c r="F19" s="90">
        <v>120</v>
      </c>
      <c r="G19" s="91">
        <f t="shared" si="0"/>
        <v>18</v>
      </c>
      <c r="H19" s="91">
        <f t="shared" si="1"/>
        <v>102</v>
      </c>
      <c r="I19" s="31">
        <f>F19*Assumptions!$B$28</f>
        <v>55662.857142857145</v>
      </c>
      <c r="J19" s="32" t="s">
        <v>109</v>
      </c>
    </row>
    <row r="20" spans="1:10" ht="16.5" customHeight="1" x14ac:dyDescent="0.25">
      <c r="A20" s="33" t="s">
        <v>110</v>
      </c>
      <c r="B20" s="34" t="s">
        <v>111</v>
      </c>
      <c r="C20" s="35" t="s">
        <v>101</v>
      </c>
      <c r="D20" s="36" t="s">
        <v>92</v>
      </c>
      <c r="E20" s="92">
        <v>0.85</v>
      </c>
      <c r="F20" s="93">
        <v>120</v>
      </c>
      <c r="G20" s="94">
        <f t="shared" si="0"/>
        <v>18</v>
      </c>
      <c r="H20" s="94">
        <f t="shared" si="1"/>
        <v>102</v>
      </c>
      <c r="I20" s="37">
        <f>F20*Assumptions!$B$28</f>
        <v>55662.857142857145</v>
      </c>
      <c r="J20" s="38" t="s">
        <v>112</v>
      </c>
    </row>
    <row r="21" spans="1:10" ht="18" customHeight="1" x14ac:dyDescent="0.25">
      <c r="A21" s="19" t="s">
        <v>114</v>
      </c>
      <c r="B21" s="20" t="s">
        <v>115</v>
      </c>
      <c r="C21" s="21" t="s">
        <v>91</v>
      </c>
      <c r="D21" s="22" t="s">
        <v>98</v>
      </c>
      <c r="E21" s="86">
        <v>0.85</v>
      </c>
      <c r="F21" s="87">
        <f>SUM(F22:F29)</f>
        <v>1160</v>
      </c>
      <c r="G21" s="88">
        <f t="shared" si="0"/>
        <v>174</v>
      </c>
      <c r="H21" s="88">
        <f t="shared" si="1"/>
        <v>986</v>
      </c>
      <c r="I21" s="23">
        <f>SUM(I22:I29)</f>
        <v>538074.2857142858</v>
      </c>
      <c r="J21" s="24" t="s">
        <v>88</v>
      </c>
    </row>
    <row r="22" spans="1:10" ht="16.5" customHeight="1" x14ac:dyDescent="0.25">
      <c r="A22" s="25" t="s">
        <v>117</v>
      </c>
      <c r="B22" s="26" t="s">
        <v>265</v>
      </c>
      <c r="C22" s="27" t="s">
        <v>58</v>
      </c>
      <c r="D22" s="28" t="s">
        <v>98</v>
      </c>
      <c r="E22" s="89">
        <v>0.9</v>
      </c>
      <c r="F22" s="90">
        <v>120</v>
      </c>
      <c r="G22" s="91">
        <f t="shared" si="0"/>
        <v>12</v>
      </c>
      <c r="H22" s="91">
        <f t="shared" si="1"/>
        <v>108</v>
      </c>
      <c r="I22" s="31">
        <f>F22*Assumptions!$B$28</f>
        <v>55662.857142857145</v>
      </c>
      <c r="J22" s="32" t="s">
        <v>93</v>
      </c>
    </row>
    <row r="23" spans="1:10" ht="16.5" customHeight="1" x14ac:dyDescent="0.25">
      <c r="A23" s="33" t="s">
        <v>119</v>
      </c>
      <c r="B23" s="34" t="s">
        <v>266</v>
      </c>
      <c r="C23" s="35" t="s">
        <v>91</v>
      </c>
      <c r="D23" s="36" t="s">
        <v>98</v>
      </c>
      <c r="E23" s="92">
        <v>0.85</v>
      </c>
      <c r="F23" s="93">
        <v>200</v>
      </c>
      <c r="G23" s="94">
        <f t="shared" si="0"/>
        <v>30</v>
      </c>
      <c r="H23" s="94">
        <f t="shared" si="1"/>
        <v>170</v>
      </c>
      <c r="I23" s="37">
        <f>F23*Assumptions!$B$28</f>
        <v>92771.42857142858</v>
      </c>
      <c r="J23" s="38" t="s">
        <v>96</v>
      </c>
    </row>
    <row r="24" spans="1:10" ht="16.5" customHeight="1" x14ac:dyDescent="0.25">
      <c r="A24" s="25" t="s">
        <v>121</v>
      </c>
      <c r="B24" s="26" t="s">
        <v>267</v>
      </c>
      <c r="C24" s="27" t="s">
        <v>101</v>
      </c>
      <c r="D24" s="28" t="s">
        <v>122</v>
      </c>
      <c r="E24" s="89">
        <v>0.8</v>
      </c>
      <c r="F24" s="90">
        <v>200</v>
      </c>
      <c r="G24" s="91">
        <f t="shared" si="0"/>
        <v>40</v>
      </c>
      <c r="H24" s="91">
        <f t="shared" si="1"/>
        <v>160</v>
      </c>
      <c r="I24" s="31">
        <f>F24*Assumptions!$B$28</f>
        <v>92771.42857142858</v>
      </c>
      <c r="J24" s="32" t="s">
        <v>99</v>
      </c>
    </row>
    <row r="25" spans="1:10" ht="16.5" customHeight="1" x14ac:dyDescent="0.25">
      <c r="A25" s="33" t="s">
        <v>124</v>
      </c>
      <c r="B25" s="34" t="s">
        <v>125</v>
      </c>
      <c r="C25" s="35" t="s">
        <v>91</v>
      </c>
      <c r="D25" s="36" t="s">
        <v>98</v>
      </c>
      <c r="E25" s="92">
        <v>0.85</v>
      </c>
      <c r="F25" s="93">
        <v>160</v>
      </c>
      <c r="G25" s="94">
        <f t="shared" si="0"/>
        <v>24</v>
      </c>
      <c r="H25" s="94">
        <f t="shared" si="1"/>
        <v>136</v>
      </c>
      <c r="I25" s="37">
        <f>F25*Assumptions!$B$28</f>
        <v>74217.14285714287</v>
      </c>
      <c r="J25" s="38" t="s">
        <v>126</v>
      </c>
    </row>
    <row r="26" spans="1:10" ht="16.5" customHeight="1" x14ac:dyDescent="0.25">
      <c r="A26" s="25" t="s">
        <v>128</v>
      </c>
      <c r="B26" s="26" t="s">
        <v>129</v>
      </c>
      <c r="C26" s="27" t="s">
        <v>101</v>
      </c>
      <c r="D26" s="28" t="s">
        <v>98</v>
      </c>
      <c r="E26" s="89">
        <v>0.85</v>
      </c>
      <c r="F26" s="90">
        <v>120</v>
      </c>
      <c r="G26" s="91">
        <f t="shared" si="0"/>
        <v>18</v>
      </c>
      <c r="H26" s="91">
        <f t="shared" si="1"/>
        <v>102</v>
      </c>
      <c r="I26" s="31">
        <f>F26*Assumptions!$B$28</f>
        <v>55662.857142857145</v>
      </c>
      <c r="J26" s="32" t="s">
        <v>130</v>
      </c>
    </row>
    <row r="27" spans="1:10" ht="16.5" customHeight="1" x14ac:dyDescent="0.25">
      <c r="A27" s="33" t="s">
        <v>132</v>
      </c>
      <c r="B27" s="34" t="s">
        <v>133</v>
      </c>
      <c r="C27" s="35" t="s">
        <v>91</v>
      </c>
      <c r="D27" s="36" t="s">
        <v>98</v>
      </c>
      <c r="E27" s="92">
        <v>0.85</v>
      </c>
      <c r="F27" s="93">
        <v>100</v>
      </c>
      <c r="G27" s="94">
        <f t="shared" si="0"/>
        <v>15</v>
      </c>
      <c r="H27" s="94">
        <f t="shared" si="1"/>
        <v>85</v>
      </c>
      <c r="I27" s="37">
        <f>F27*Assumptions!$B$28</f>
        <v>46385.71428571429</v>
      </c>
      <c r="J27" s="38" t="s">
        <v>134</v>
      </c>
    </row>
    <row r="28" spans="1:10" ht="16.5" customHeight="1" x14ac:dyDescent="0.25">
      <c r="A28" s="25" t="s">
        <v>136</v>
      </c>
      <c r="B28" s="26" t="s">
        <v>137</v>
      </c>
      <c r="C28" s="27" t="s">
        <v>101</v>
      </c>
      <c r="D28" s="28" t="s">
        <v>98</v>
      </c>
      <c r="E28" s="89">
        <v>0.85</v>
      </c>
      <c r="F28" s="90">
        <v>120</v>
      </c>
      <c r="G28" s="91">
        <f t="shared" si="0"/>
        <v>18</v>
      </c>
      <c r="H28" s="91">
        <f t="shared" si="1"/>
        <v>102</v>
      </c>
      <c r="I28" s="31">
        <f>F28*Assumptions!$B$28</f>
        <v>55662.857142857145</v>
      </c>
      <c r="J28" s="32" t="s">
        <v>138</v>
      </c>
    </row>
    <row r="29" spans="1:10" ht="16.5" customHeight="1" x14ac:dyDescent="0.25">
      <c r="A29" s="33" t="s">
        <v>140</v>
      </c>
      <c r="B29" s="34" t="s">
        <v>141</v>
      </c>
      <c r="C29" s="35" t="s">
        <v>101</v>
      </c>
      <c r="D29" s="36" t="s">
        <v>142</v>
      </c>
      <c r="E29" s="92">
        <v>0.7</v>
      </c>
      <c r="F29" s="93">
        <v>140</v>
      </c>
      <c r="G29" s="94">
        <f t="shared" si="0"/>
        <v>42</v>
      </c>
      <c r="H29" s="94">
        <f t="shared" si="1"/>
        <v>98</v>
      </c>
      <c r="I29" s="37">
        <f>F29*Assumptions!$B$28</f>
        <v>64940.000000000007</v>
      </c>
      <c r="J29" s="38" t="s">
        <v>143</v>
      </c>
    </row>
    <row r="30" spans="1:10" ht="18" customHeight="1" x14ac:dyDescent="0.25">
      <c r="A30" s="19" t="s">
        <v>145</v>
      </c>
      <c r="B30" s="20" t="s">
        <v>146</v>
      </c>
      <c r="C30" s="21" t="s">
        <v>147</v>
      </c>
      <c r="D30" s="22" t="s">
        <v>148</v>
      </c>
      <c r="E30" s="86">
        <v>0.8</v>
      </c>
      <c r="F30" s="87">
        <f>SUM(F31:F39)</f>
        <v>1740</v>
      </c>
      <c r="G30" s="88">
        <f t="shared" si="0"/>
        <v>348</v>
      </c>
      <c r="H30" s="88">
        <f t="shared" si="1"/>
        <v>1392</v>
      </c>
      <c r="I30" s="23">
        <f>SUM(I31:I39)</f>
        <v>807111.42857142864</v>
      </c>
      <c r="J30" s="24" t="s">
        <v>102</v>
      </c>
    </row>
    <row r="31" spans="1:10" ht="16.5" customHeight="1" x14ac:dyDescent="0.25">
      <c r="A31" s="25" t="s">
        <v>150</v>
      </c>
      <c r="B31" s="26" t="s">
        <v>151</v>
      </c>
      <c r="C31" s="27" t="s">
        <v>101</v>
      </c>
      <c r="D31" s="28" t="s">
        <v>152</v>
      </c>
      <c r="E31" s="89">
        <v>0.85</v>
      </c>
      <c r="F31" s="90">
        <v>240</v>
      </c>
      <c r="G31" s="91">
        <f t="shared" si="0"/>
        <v>36</v>
      </c>
      <c r="H31" s="91">
        <f t="shared" si="1"/>
        <v>204</v>
      </c>
      <c r="I31" s="31">
        <f>F31*Assumptions!$B$28</f>
        <v>111325.71428571429</v>
      </c>
      <c r="J31" s="32" t="s">
        <v>106</v>
      </c>
    </row>
    <row r="32" spans="1:10" ht="16.5" customHeight="1" x14ac:dyDescent="0.25">
      <c r="A32" s="33" t="s">
        <v>154</v>
      </c>
      <c r="B32" s="34" t="s">
        <v>268</v>
      </c>
      <c r="C32" s="35" t="s">
        <v>101</v>
      </c>
      <c r="D32" s="36" t="s">
        <v>155</v>
      </c>
      <c r="E32" s="92">
        <v>0.8</v>
      </c>
      <c r="F32" s="93">
        <v>280</v>
      </c>
      <c r="G32" s="94">
        <f t="shared" si="0"/>
        <v>56</v>
      </c>
      <c r="H32" s="94">
        <f t="shared" si="1"/>
        <v>224</v>
      </c>
      <c r="I32" s="37">
        <f>F32*Assumptions!$B$28</f>
        <v>129880.00000000001</v>
      </c>
      <c r="J32" s="38" t="s">
        <v>156</v>
      </c>
    </row>
    <row r="33" spans="1:10" ht="16.5" customHeight="1" x14ac:dyDescent="0.25">
      <c r="A33" s="25" t="s">
        <v>158</v>
      </c>
      <c r="B33" s="26" t="s">
        <v>269</v>
      </c>
      <c r="C33" s="27" t="s">
        <v>159</v>
      </c>
      <c r="D33" s="28" t="s">
        <v>160</v>
      </c>
      <c r="E33" s="89">
        <v>0.8</v>
      </c>
      <c r="F33" s="90">
        <v>300</v>
      </c>
      <c r="G33" s="91">
        <f t="shared" si="0"/>
        <v>60</v>
      </c>
      <c r="H33" s="91">
        <f t="shared" si="1"/>
        <v>240</v>
      </c>
      <c r="I33" s="31">
        <f>F33*Assumptions!$B$28</f>
        <v>139157.14285714287</v>
      </c>
      <c r="J33" s="32" t="s">
        <v>113</v>
      </c>
    </row>
    <row r="34" spans="1:10" ht="16.5" customHeight="1" x14ac:dyDescent="0.25">
      <c r="A34" s="33" t="s">
        <v>162</v>
      </c>
      <c r="B34" s="34" t="s">
        <v>163</v>
      </c>
      <c r="C34" s="35" t="s">
        <v>159</v>
      </c>
      <c r="D34" s="36" t="s">
        <v>164</v>
      </c>
      <c r="E34" s="92">
        <v>0.8</v>
      </c>
      <c r="F34" s="93">
        <v>160</v>
      </c>
      <c r="G34" s="94">
        <f t="shared" si="0"/>
        <v>32</v>
      </c>
      <c r="H34" s="94">
        <f t="shared" si="1"/>
        <v>128</v>
      </c>
      <c r="I34" s="37">
        <f>F34*Assumptions!$B$28</f>
        <v>74217.14285714287</v>
      </c>
      <c r="J34" s="38" t="s">
        <v>116</v>
      </c>
    </row>
    <row r="35" spans="1:10" ht="16.5" customHeight="1" x14ac:dyDescent="0.25">
      <c r="A35" s="25" t="s">
        <v>166</v>
      </c>
      <c r="B35" s="26" t="s">
        <v>270</v>
      </c>
      <c r="C35" s="27" t="s">
        <v>159</v>
      </c>
      <c r="D35" s="28" t="s">
        <v>164</v>
      </c>
      <c r="E35" s="89">
        <v>0.8</v>
      </c>
      <c r="F35" s="90">
        <v>200</v>
      </c>
      <c r="G35" s="91">
        <f t="shared" si="0"/>
        <v>40</v>
      </c>
      <c r="H35" s="91">
        <f t="shared" si="1"/>
        <v>160</v>
      </c>
      <c r="I35" s="31">
        <f>F35*Assumptions!$B$28</f>
        <v>92771.42857142858</v>
      </c>
      <c r="J35" s="32" t="s">
        <v>167</v>
      </c>
    </row>
    <row r="36" spans="1:10" ht="16.5" customHeight="1" x14ac:dyDescent="0.25">
      <c r="A36" s="33" t="s">
        <v>169</v>
      </c>
      <c r="B36" s="34" t="s">
        <v>271</v>
      </c>
      <c r="C36" s="35" t="s">
        <v>101</v>
      </c>
      <c r="D36" s="36" t="s">
        <v>152</v>
      </c>
      <c r="E36" s="92">
        <v>0.85</v>
      </c>
      <c r="F36" s="93">
        <v>120</v>
      </c>
      <c r="G36" s="94">
        <f t="shared" si="0"/>
        <v>18</v>
      </c>
      <c r="H36" s="94">
        <f t="shared" si="1"/>
        <v>102</v>
      </c>
      <c r="I36" s="37">
        <f>F36*Assumptions!$B$28</f>
        <v>55662.857142857145</v>
      </c>
      <c r="J36" s="38" t="s">
        <v>170</v>
      </c>
    </row>
    <row r="37" spans="1:10" ht="16.5" customHeight="1" x14ac:dyDescent="0.25">
      <c r="A37" s="25" t="s">
        <v>172</v>
      </c>
      <c r="B37" s="26" t="s">
        <v>173</v>
      </c>
      <c r="C37" s="27" t="s">
        <v>159</v>
      </c>
      <c r="D37" s="28" t="s">
        <v>160</v>
      </c>
      <c r="E37" s="89">
        <v>0.8</v>
      </c>
      <c r="F37" s="90">
        <v>160</v>
      </c>
      <c r="G37" s="91">
        <f t="shared" ref="G37:G68" si="2">ROUND(F37*(1-E37),0)</f>
        <v>32</v>
      </c>
      <c r="H37" s="91">
        <f t="shared" ref="H37:H65" si="3">ROUND(F37*E37,0)</f>
        <v>128</v>
      </c>
      <c r="I37" s="31">
        <f>F37*Assumptions!$B$28</f>
        <v>74217.14285714287</v>
      </c>
      <c r="J37" s="32" t="s">
        <v>174</v>
      </c>
    </row>
    <row r="38" spans="1:10" ht="16.5" customHeight="1" x14ac:dyDescent="0.25">
      <c r="A38" s="33" t="s">
        <v>176</v>
      </c>
      <c r="B38" s="34" t="s">
        <v>272</v>
      </c>
      <c r="C38" s="35" t="s">
        <v>159</v>
      </c>
      <c r="D38" s="36" t="s">
        <v>160</v>
      </c>
      <c r="E38" s="92">
        <v>0.8</v>
      </c>
      <c r="F38" s="93">
        <v>120</v>
      </c>
      <c r="G38" s="94">
        <f t="shared" si="2"/>
        <v>24</v>
      </c>
      <c r="H38" s="94">
        <f t="shared" si="3"/>
        <v>96</v>
      </c>
      <c r="I38" s="37">
        <f>F38*Assumptions!$B$28</f>
        <v>55662.857142857145</v>
      </c>
      <c r="J38" s="38" t="s">
        <v>177</v>
      </c>
    </row>
    <row r="39" spans="1:10" ht="16.5" customHeight="1" x14ac:dyDescent="0.25">
      <c r="A39" s="27" t="s">
        <v>179</v>
      </c>
      <c r="B39" s="26" t="s">
        <v>180</v>
      </c>
      <c r="C39" s="27" t="s">
        <v>147</v>
      </c>
      <c r="D39" s="28" t="s">
        <v>152</v>
      </c>
      <c r="E39" s="89">
        <v>0.8</v>
      </c>
      <c r="F39" s="90">
        <v>160</v>
      </c>
      <c r="G39" s="91">
        <f t="shared" si="2"/>
        <v>32</v>
      </c>
      <c r="H39" s="91">
        <f t="shared" si="3"/>
        <v>128</v>
      </c>
      <c r="I39" s="31">
        <f>F39*Assumptions!$B$28</f>
        <v>74217.14285714287</v>
      </c>
      <c r="J39" s="39" t="s">
        <v>181</v>
      </c>
    </row>
    <row r="40" spans="1:10" ht="18" customHeight="1" x14ac:dyDescent="0.25">
      <c r="A40" s="40" t="s">
        <v>182</v>
      </c>
      <c r="B40" s="20" t="s">
        <v>183</v>
      </c>
      <c r="C40" s="21" t="s">
        <v>184</v>
      </c>
      <c r="D40" s="22" t="s">
        <v>142</v>
      </c>
      <c r="E40" s="86">
        <v>0.75</v>
      </c>
      <c r="F40" s="87">
        <f>SUM(F41:F47)</f>
        <v>900</v>
      </c>
      <c r="G40" s="88">
        <f t="shared" si="2"/>
        <v>225</v>
      </c>
      <c r="H40" s="88">
        <f t="shared" si="3"/>
        <v>675</v>
      </c>
      <c r="I40" s="23">
        <f>SUM(I41:I47)</f>
        <v>417471.42857142858</v>
      </c>
      <c r="J40" s="24" t="s">
        <v>118</v>
      </c>
    </row>
    <row r="41" spans="1:10" ht="16.5" customHeight="1" x14ac:dyDescent="0.25">
      <c r="A41" s="27" t="s">
        <v>185</v>
      </c>
      <c r="B41" s="26" t="s">
        <v>186</v>
      </c>
      <c r="C41" s="27" t="s">
        <v>58</v>
      </c>
      <c r="D41" s="28" t="s">
        <v>142</v>
      </c>
      <c r="E41" s="89">
        <v>0.7</v>
      </c>
      <c r="F41" s="90">
        <v>160</v>
      </c>
      <c r="G41" s="91">
        <f t="shared" si="2"/>
        <v>48</v>
      </c>
      <c r="H41" s="91">
        <f t="shared" si="3"/>
        <v>112</v>
      </c>
      <c r="I41" s="31">
        <f>F41*Assumptions!$B$28</f>
        <v>74217.14285714287</v>
      </c>
      <c r="J41" s="32" t="s">
        <v>120</v>
      </c>
    </row>
    <row r="42" spans="1:10" ht="16.5" customHeight="1" x14ac:dyDescent="0.25">
      <c r="A42" s="35" t="s">
        <v>187</v>
      </c>
      <c r="B42" s="34" t="s">
        <v>273</v>
      </c>
      <c r="C42" s="35" t="s">
        <v>101</v>
      </c>
      <c r="D42" s="36" t="s">
        <v>17</v>
      </c>
      <c r="E42" s="92">
        <v>0.8</v>
      </c>
      <c r="F42" s="93">
        <v>160</v>
      </c>
      <c r="G42" s="94">
        <f t="shared" si="2"/>
        <v>32</v>
      </c>
      <c r="H42" s="94">
        <f t="shared" si="3"/>
        <v>128</v>
      </c>
      <c r="I42" s="37">
        <f>F42*Assumptions!$B$28</f>
        <v>74217.14285714287</v>
      </c>
      <c r="J42" s="41" t="s">
        <v>123</v>
      </c>
    </row>
    <row r="43" spans="1:10" ht="16.5" customHeight="1" x14ac:dyDescent="0.25">
      <c r="A43" s="27" t="s">
        <v>188</v>
      </c>
      <c r="B43" s="26" t="s">
        <v>274</v>
      </c>
      <c r="C43" s="27" t="s">
        <v>147</v>
      </c>
      <c r="D43" s="28" t="s">
        <v>142</v>
      </c>
      <c r="E43" s="89">
        <v>0.75</v>
      </c>
      <c r="F43" s="90">
        <v>160</v>
      </c>
      <c r="G43" s="91">
        <f t="shared" si="2"/>
        <v>40</v>
      </c>
      <c r="H43" s="91">
        <f t="shared" si="3"/>
        <v>120</v>
      </c>
      <c r="I43" s="31">
        <f>F43*Assumptions!$B$28</f>
        <v>74217.14285714287</v>
      </c>
      <c r="J43" s="39" t="s">
        <v>127</v>
      </c>
    </row>
    <row r="44" spans="1:10" ht="16.5" customHeight="1" x14ac:dyDescent="0.25">
      <c r="A44" s="35" t="s">
        <v>189</v>
      </c>
      <c r="B44" s="42" t="s">
        <v>190</v>
      </c>
      <c r="C44" s="43" t="s">
        <v>91</v>
      </c>
      <c r="D44" s="44" t="s">
        <v>142</v>
      </c>
      <c r="E44" s="92">
        <v>0.75</v>
      </c>
      <c r="F44" s="93">
        <v>120</v>
      </c>
      <c r="G44" s="94">
        <f t="shared" si="2"/>
        <v>30</v>
      </c>
      <c r="H44" s="94">
        <f t="shared" si="3"/>
        <v>90</v>
      </c>
      <c r="I44" s="37">
        <f>F44*Assumptions!$B$28</f>
        <v>55662.857142857145</v>
      </c>
      <c r="J44" s="41" t="s">
        <v>191</v>
      </c>
    </row>
    <row r="45" spans="1:10" ht="16.5" customHeight="1" x14ac:dyDescent="0.25">
      <c r="A45" s="27" t="s">
        <v>192</v>
      </c>
      <c r="B45" s="45" t="s">
        <v>193</v>
      </c>
      <c r="C45" s="46" t="s">
        <v>101</v>
      </c>
      <c r="D45" s="47" t="s">
        <v>70</v>
      </c>
      <c r="E45" s="89">
        <v>0.8</v>
      </c>
      <c r="F45" s="90">
        <v>120</v>
      </c>
      <c r="G45" s="91">
        <f t="shared" si="2"/>
        <v>24</v>
      </c>
      <c r="H45" s="91">
        <f t="shared" si="3"/>
        <v>96</v>
      </c>
      <c r="I45" s="31">
        <f>F45*Assumptions!$B$28</f>
        <v>55662.857142857145</v>
      </c>
      <c r="J45" s="39" t="s">
        <v>194</v>
      </c>
    </row>
    <row r="46" spans="1:10" ht="16.5" customHeight="1" x14ac:dyDescent="0.25">
      <c r="A46" s="35" t="s">
        <v>195</v>
      </c>
      <c r="B46" s="42" t="s">
        <v>196</v>
      </c>
      <c r="C46" s="43" t="s">
        <v>147</v>
      </c>
      <c r="D46" s="44" t="s">
        <v>142</v>
      </c>
      <c r="E46" s="92">
        <v>0.75</v>
      </c>
      <c r="F46" s="93">
        <v>100</v>
      </c>
      <c r="G46" s="94">
        <f t="shared" si="2"/>
        <v>25</v>
      </c>
      <c r="H46" s="94">
        <f t="shared" si="3"/>
        <v>75</v>
      </c>
      <c r="I46" s="37">
        <f>F46*Assumptions!$B$28</f>
        <v>46385.71428571429</v>
      </c>
      <c r="J46" s="41" t="s">
        <v>197</v>
      </c>
    </row>
    <row r="47" spans="1:10" ht="16.5" customHeight="1" x14ac:dyDescent="0.25">
      <c r="A47" s="27" t="s">
        <v>198</v>
      </c>
      <c r="B47" s="45" t="s">
        <v>199</v>
      </c>
      <c r="C47" s="46" t="s">
        <v>101</v>
      </c>
      <c r="D47" s="47" t="s">
        <v>17</v>
      </c>
      <c r="E47" s="89">
        <v>0.8</v>
      </c>
      <c r="F47" s="90">
        <v>80</v>
      </c>
      <c r="G47" s="91">
        <f t="shared" si="2"/>
        <v>16</v>
      </c>
      <c r="H47" s="91">
        <f t="shared" si="3"/>
        <v>64</v>
      </c>
      <c r="I47" s="31">
        <f>F47*Assumptions!$B$28</f>
        <v>37108.571428571435</v>
      </c>
      <c r="J47" s="39" t="s">
        <v>200</v>
      </c>
    </row>
    <row r="48" spans="1:10" ht="18" customHeight="1" x14ac:dyDescent="0.25">
      <c r="A48" s="40" t="s">
        <v>201</v>
      </c>
      <c r="B48" s="20" t="s">
        <v>275</v>
      </c>
      <c r="C48" s="21" t="s">
        <v>58</v>
      </c>
      <c r="D48" s="22" t="s">
        <v>202</v>
      </c>
      <c r="E48" s="86">
        <v>0.8</v>
      </c>
      <c r="F48" s="87">
        <f>SUM(F49:F51)</f>
        <v>200</v>
      </c>
      <c r="G48" s="88">
        <f t="shared" si="2"/>
        <v>40</v>
      </c>
      <c r="H48" s="88">
        <f t="shared" si="3"/>
        <v>160</v>
      </c>
      <c r="I48" s="23">
        <f>SUM(I49:I51)</f>
        <v>92771.42857142858</v>
      </c>
      <c r="J48" s="48" t="s">
        <v>131</v>
      </c>
    </row>
    <row r="49" spans="1:10" ht="16.5" customHeight="1" x14ac:dyDescent="0.25">
      <c r="A49" s="27" t="s">
        <v>203</v>
      </c>
      <c r="B49" s="26" t="s">
        <v>204</v>
      </c>
      <c r="C49" s="27" t="s">
        <v>58</v>
      </c>
      <c r="D49" s="28" t="s">
        <v>98</v>
      </c>
      <c r="E49" s="89">
        <v>0.9</v>
      </c>
      <c r="F49" s="90">
        <v>80</v>
      </c>
      <c r="G49" s="91">
        <f t="shared" si="2"/>
        <v>8</v>
      </c>
      <c r="H49" s="91">
        <f t="shared" si="3"/>
        <v>72</v>
      </c>
      <c r="I49" s="31">
        <f>F49*Assumptions!$B$28</f>
        <v>37108.571428571435</v>
      </c>
      <c r="J49" s="39" t="s">
        <v>135</v>
      </c>
    </row>
    <row r="50" spans="1:10" ht="16.5" customHeight="1" x14ac:dyDescent="0.25">
      <c r="A50" s="35" t="s">
        <v>205</v>
      </c>
      <c r="B50" s="34" t="s">
        <v>206</v>
      </c>
      <c r="C50" s="35" t="s">
        <v>58</v>
      </c>
      <c r="D50" s="36" t="s">
        <v>98</v>
      </c>
      <c r="E50" s="92">
        <v>0.9</v>
      </c>
      <c r="F50" s="93">
        <v>60</v>
      </c>
      <c r="G50" s="94">
        <f t="shared" si="2"/>
        <v>6</v>
      </c>
      <c r="H50" s="94">
        <f t="shared" si="3"/>
        <v>54</v>
      </c>
      <c r="I50" s="37">
        <f>F50*Assumptions!$B$28</f>
        <v>27831.428571428572</v>
      </c>
      <c r="J50" s="41" t="s">
        <v>139</v>
      </c>
    </row>
    <row r="51" spans="1:10" ht="16.5" customHeight="1" x14ac:dyDescent="0.25">
      <c r="A51" s="27" t="s">
        <v>207</v>
      </c>
      <c r="B51" s="26" t="s">
        <v>276</v>
      </c>
      <c r="C51" s="27" t="s">
        <v>58</v>
      </c>
      <c r="D51" s="28" t="s">
        <v>152</v>
      </c>
      <c r="E51" s="89">
        <v>0.8</v>
      </c>
      <c r="F51" s="90">
        <v>60</v>
      </c>
      <c r="G51" s="91">
        <f t="shared" si="2"/>
        <v>12</v>
      </c>
      <c r="H51" s="91">
        <f t="shared" si="3"/>
        <v>48</v>
      </c>
      <c r="I51" s="31">
        <f>F51*Assumptions!$B$28</f>
        <v>27831.428571428572</v>
      </c>
      <c r="J51" s="39" t="s">
        <v>144</v>
      </c>
    </row>
    <row r="52" spans="1:10" ht="18" customHeight="1" x14ac:dyDescent="0.25">
      <c r="A52" s="40" t="s">
        <v>208</v>
      </c>
      <c r="B52" s="20" t="s">
        <v>209</v>
      </c>
      <c r="C52" s="21" t="s">
        <v>184</v>
      </c>
      <c r="D52" s="22" t="s">
        <v>17</v>
      </c>
      <c r="E52" s="86">
        <v>0.8</v>
      </c>
      <c r="F52" s="87">
        <f>SUM(F53:F58)</f>
        <v>500</v>
      </c>
      <c r="G52" s="88">
        <f t="shared" si="2"/>
        <v>100</v>
      </c>
      <c r="H52" s="88">
        <f t="shared" si="3"/>
        <v>400</v>
      </c>
      <c r="I52" s="23">
        <f>SUM(I53:I58)</f>
        <v>231928.57142857142</v>
      </c>
      <c r="J52" s="48" t="s">
        <v>149</v>
      </c>
    </row>
    <row r="53" spans="1:10" ht="16.5" customHeight="1" x14ac:dyDescent="0.25">
      <c r="A53" s="27" t="s">
        <v>210</v>
      </c>
      <c r="B53" s="26" t="s">
        <v>277</v>
      </c>
      <c r="C53" s="27" t="s">
        <v>101</v>
      </c>
      <c r="D53" s="28" t="s">
        <v>17</v>
      </c>
      <c r="E53" s="89">
        <v>0.8</v>
      </c>
      <c r="F53" s="90">
        <v>80</v>
      </c>
      <c r="G53" s="91">
        <f t="shared" si="2"/>
        <v>16</v>
      </c>
      <c r="H53" s="91">
        <f t="shared" si="3"/>
        <v>64</v>
      </c>
      <c r="I53" s="31">
        <f>F53*Assumptions!$B$28</f>
        <v>37108.571428571435</v>
      </c>
      <c r="J53" s="39" t="s">
        <v>153</v>
      </c>
    </row>
    <row r="54" spans="1:10" ht="16.5" customHeight="1" x14ac:dyDescent="0.25">
      <c r="A54" s="35" t="s">
        <v>211</v>
      </c>
      <c r="B54" s="34" t="s">
        <v>212</v>
      </c>
      <c r="C54" s="35" t="s">
        <v>101</v>
      </c>
      <c r="D54" s="36" t="s">
        <v>17</v>
      </c>
      <c r="E54" s="92">
        <v>0.8</v>
      </c>
      <c r="F54" s="93">
        <v>80</v>
      </c>
      <c r="G54" s="94">
        <f t="shared" si="2"/>
        <v>16</v>
      </c>
      <c r="H54" s="94">
        <f t="shared" si="3"/>
        <v>64</v>
      </c>
      <c r="I54" s="37">
        <f>F54*Assumptions!$B$28</f>
        <v>37108.571428571435</v>
      </c>
      <c r="J54" s="41" t="s">
        <v>157</v>
      </c>
    </row>
    <row r="55" spans="1:10" ht="16.5" customHeight="1" x14ac:dyDescent="0.25">
      <c r="A55" s="27" t="s">
        <v>213</v>
      </c>
      <c r="B55" s="26" t="s">
        <v>278</v>
      </c>
      <c r="C55" s="27" t="s">
        <v>159</v>
      </c>
      <c r="D55" s="28" t="s">
        <v>17</v>
      </c>
      <c r="E55" s="89">
        <v>0.8</v>
      </c>
      <c r="F55" s="90">
        <v>80</v>
      </c>
      <c r="G55" s="91">
        <f t="shared" si="2"/>
        <v>16</v>
      </c>
      <c r="H55" s="91">
        <f t="shared" si="3"/>
        <v>64</v>
      </c>
      <c r="I55" s="31">
        <f>F55*Assumptions!$B$28</f>
        <v>37108.571428571435</v>
      </c>
      <c r="J55" s="39" t="s">
        <v>161</v>
      </c>
    </row>
    <row r="56" spans="1:10" ht="16.5" customHeight="1" x14ac:dyDescent="0.25">
      <c r="A56" s="35" t="s">
        <v>214</v>
      </c>
      <c r="B56" s="34" t="s">
        <v>215</v>
      </c>
      <c r="C56" s="35" t="s">
        <v>159</v>
      </c>
      <c r="D56" s="36" t="s">
        <v>17</v>
      </c>
      <c r="E56" s="92">
        <v>0.8</v>
      </c>
      <c r="F56" s="93">
        <v>60</v>
      </c>
      <c r="G56" s="94">
        <f t="shared" si="2"/>
        <v>12</v>
      </c>
      <c r="H56" s="94">
        <f t="shared" si="3"/>
        <v>48</v>
      </c>
      <c r="I56" s="37">
        <f>F56*Assumptions!$B$28</f>
        <v>27831.428571428572</v>
      </c>
      <c r="J56" s="41" t="s">
        <v>165</v>
      </c>
    </row>
    <row r="57" spans="1:10" ht="16.5" customHeight="1" x14ac:dyDescent="0.25">
      <c r="A57" s="27" t="s">
        <v>216</v>
      </c>
      <c r="B57" s="26" t="s">
        <v>217</v>
      </c>
      <c r="C57" s="27" t="s">
        <v>184</v>
      </c>
      <c r="D57" s="28" t="s">
        <v>17</v>
      </c>
      <c r="E57" s="89">
        <v>0.6</v>
      </c>
      <c r="F57" s="90">
        <v>120</v>
      </c>
      <c r="G57" s="91">
        <f t="shared" si="2"/>
        <v>48</v>
      </c>
      <c r="H57" s="91">
        <f t="shared" si="3"/>
        <v>72</v>
      </c>
      <c r="I57" s="31">
        <f>F57*Assumptions!$B$28</f>
        <v>55662.857142857145</v>
      </c>
      <c r="J57" s="39" t="s">
        <v>218</v>
      </c>
    </row>
    <row r="58" spans="1:10" ht="16.5" customHeight="1" x14ac:dyDescent="0.25">
      <c r="A58" s="35" t="s">
        <v>219</v>
      </c>
      <c r="B58" s="34" t="s">
        <v>220</v>
      </c>
      <c r="C58" s="35" t="s">
        <v>58</v>
      </c>
      <c r="D58" s="36" t="s">
        <v>17</v>
      </c>
      <c r="E58" s="92">
        <v>0.7</v>
      </c>
      <c r="F58" s="93">
        <v>80</v>
      </c>
      <c r="G58" s="94">
        <f t="shared" si="2"/>
        <v>24</v>
      </c>
      <c r="H58" s="94">
        <f t="shared" si="3"/>
        <v>56</v>
      </c>
      <c r="I58" s="37">
        <f>F58*Assumptions!$B$28</f>
        <v>37108.571428571435</v>
      </c>
      <c r="J58" s="41" t="s">
        <v>221</v>
      </c>
    </row>
    <row r="59" spans="1:10" ht="18" customHeight="1" x14ac:dyDescent="0.25">
      <c r="A59" s="40" t="s">
        <v>222</v>
      </c>
      <c r="B59" s="20" t="s">
        <v>223</v>
      </c>
      <c r="C59" s="21" t="s">
        <v>159</v>
      </c>
      <c r="D59" s="22" t="s">
        <v>224</v>
      </c>
      <c r="E59" s="86">
        <v>0.7</v>
      </c>
      <c r="F59" s="87">
        <f>SUM(F60:F65)</f>
        <v>400</v>
      </c>
      <c r="G59" s="88">
        <f t="shared" si="2"/>
        <v>120</v>
      </c>
      <c r="H59" s="88">
        <f t="shared" si="3"/>
        <v>280</v>
      </c>
      <c r="I59" s="23">
        <f>SUM(I60:I65)</f>
        <v>185542.85714285716</v>
      </c>
      <c r="J59" s="48" t="s">
        <v>168</v>
      </c>
    </row>
    <row r="60" spans="1:10" ht="16.5" customHeight="1" x14ac:dyDescent="0.25">
      <c r="A60" s="27" t="s">
        <v>225</v>
      </c>
      <c r="B60" s="26" t="s">
        <v>226</v>
      </c>
      <c r="C60" s="27" t="s">
        <v>159</v>
      </c>
      <c r="D60" s="28" t="s">
        <v>224</v>
      </c>
      <c r="E60" s="89">
        <v>0.7</v>
      </c>
      <c r="F60" s="90">
        <v>80</v>
      </c>
      <c r="G60" s="91">
        <f t="shared" si="2"/>
        <v>24</v>
      </c>
      <c r="H60" s="91">
        <f t="shared" si="3"/>
        <v>56</v>
      </c>
      <c r="I60" s="31">
        <f>F60*Assumptions!$B$28</f>
        <v>37108.571428571435</v>
      </c>
      <c r="J60" s="39" t="s">
        <v>171</v>
      </c>
    </row>
    <row r="61" spans="1:10" ht="16.5" customHeight="1" x14ac:dyDescent="0.25">
      <c r="A61" s="35" t="s">
        <v>227</v>
      </c>
      <c r="B61" s="34" t="s">
        <v>228</v>
      </c>
      <c r="C61" s="35" t="s">
        <v>159</v>
      </c>
      <c r="D61" s="36" t="s">
        <v>70</v>
      </c>
      <c r="E61" s="92">
        <v>0.8</v>
      </c>
      <c r="F61" s="93">
        <v>40</v>
      </c>
      <c r="G61" s="94">
        <f t="shared" si="2"/>
        <v>8</v>
      </c>
      <c r="H61" s="94">
        <f t="shared" si="3"/>
        <v>32</v>
      </c>
      <c r="I61" s="37">
        <f>F61*Assumptions!$B$28</f>
        <v>18554.285714285717</v>
      </c>
      <c r="J61" s="41" t="s">
        <v>175</v>
      </c>
    </row>
    <row r="62" spans="1:10" ht="16.5" customHeight="1" x14ac:dyDescent="0.25">
      <c r="A62" s="27" t="s">
        <v>229</v>
      </c>
      <c r="B62" s="26" t="s">
        <v>279</v>
      </c>
      <c r="C62" s="27" t="s">
        <v>159</v>
      </c>
      <c r="D62" s="28" t="s">
        <v>224</v>
      </c>
      <c r="E62" s="89">
        <v>0.65</v>
      </c>
      <c r="F62" s="90">
        <v>40</v>
      </c>
      <c r="G62" s="91">
        <f t="shared" si="2"/>
        <v>14</v>
      </c>
      <c r="H62" s="91">
        <f t="shared" si="3"/>
        <v>26</v>
      </c>
      <c r="I62" s="31">
        <f>F62*Assumptions!$B$28</f>
        <v>18554.285714285717</v>
      </c>
      <c r="J62" s="39" t="s">
        <v>178</v>
      </c>
    </row>
    <row r="63" spans="1:10" ht="16.5" customHeight="1" x14ac:dyDescent="0.25">
      <c r="A63" s="35" t="s">
        <v>230</v>
      </c>
      <c r="B63" s="34" t="s">
        <v>280</v>
      </c>
      <c r="C63" s="35" t="s">
        <v>159</v>
      </c>
      <c r="D63" s="36" t="s">
        <v>70</v>
      </c>
      <c r="E63" s="92">
        <v>0.8</v>
      </c>
      <c r="F63" s="93">
        <v>80</v>
      </c>
      <c r="G63" s="94">
        <f t="shared" si="2"/>
        <v>16</v>
      </c>
      <c r="H63" s="94">
        <f t="shared" si="3"/>
        <v>64</v>
      </c>
      <c r="I63" s="37">
        <f>F63*Assumptions!$B$28</f>
        <v>37108.571428571435</v>
      </c>
      <c r="J63" s="41" t="s">
        <v>231</v>
      </c>
    </row>
    <row r="64" spans="1:10" ht="16.5" customHeight="1" x14ac:dyDescent="0.25">
      <c r="A64" s="27" t="s">
        <v>232</v>
      </c>
      <c r="B64" s="26" t="s">
        <v>281</v>
      </c>
      <c r="C64" s="27" t="s">
        <v>159</v>
      </c>
      <c r="D64" s="28" t="s">
        <v>224</v>
      </c>
      <c r="E64" s="89">
        <v>0.65</v>
      </c>
      <c r="F64" s="90">
        <v>100</v>
      </c>
      <c r="G64" s="91">
        <f t="shared" si="2"/>
        <v>35</v>
      </c>
      <c r="H64" s="91">
        <f t="shared" si="3"/>
        <v>65</v>
      </c>
      <c r="I64" s="31">
        <f>F64*Assumptions!$B$28</f>
        <v>46385.71428571429</v>
      </c>
      <c r="J64" s="39" t="s">
        <v>233</v>
      </c>
    </row>
    <row r="65" spans="1:10" ht="16.5" customHeight="1" x14ac:dyDescent="0.25">
      <c r="A65" s="35" t="s">
        <v>234</v>
      </c>
      <c r="B65" s="34" t="s">
        <v>235</v>
      </c>
      <c r="C65" s="35" t="s">
        <v>159</v>
      </c>
      <c r="D65" s="36" t="s">
        <v>12</v>
      </c>
      <c r="E65" s="92">
        <v>0.5</v>
      </c>
      <c r="F65" s="93">
        <v>60</v>
      </c>
      <c r="G65" s="94">
        <f t="shared" si="2"/>
        <v>30</v>
      </c>
      <c r="H65" s="94">
        <f t="shared" si="3"/>
        <v>30</v>
      </c>
      <c r="I65" s="37">
        <f>F65*Assumptions!$B$28</f>
        <v>27831.428571428572</v>
      </c>
      <c r="J65" s="41" t="s">
        <v>236</v>
      </c>
    </row>
    <row r="66" spans="1:10" x14ac:dyDescent="0.25">
      <c r="E66" s="95"/>
      <c r="F66" s="95"/>
      <c r="G66" s="95"/>
      <c r="H66" s="95"/>
      <c r="I66" s="95"/>
    </row>
    <row r="67" spans="1:10" ht="21.75" customHeight="1" x14ac:dyDescent="0.25">
      <c r="A67" s="49" t="s">
        <v>237</v>
      </c>
      <c r="B67" s="49" t="s">
        <v>238</v>
      </c>
      <c r="C67" s="50"/>
      <c r="D67" s="50"/>
      <c r="E67" s="96">
        <f>SUMPRODUCT(F5:F66,E5:E66)/SUM(F5:F66)</f>
        <v>0.7957822085889571</v>
      </c>
      <c r="F67" s="97">
        <f>F5+F14+F21+F30+F40+F48+F52+F59</f>
        <v>6520</v>
      </c>
      <c r="G67" s="97">
        <f t="shared" ref="G67:H67" si="4">G5+G14+G21+G30+G40+G48+G52+G59</f>
        <v>1355</v>
      </c>
      <c r="H67" s="97">
        <f t="shared" si="4"/>
        <v>5165</v>
      </c>
      <c r="I67" s="51">
        <f>I5+I14+I21+I30+I40+I48+I52+I59</f>
        <v>3024348.5714285718</v>
      </c>
      <c r="J67" s="52" t="s">
        <v>239</v>
      </c>
    </row>
    <row r="69" spans="1:10" ht="21.75" customHeight="1" x14ac:dyDescent="0.25">
      <c r="A69" s="98" t="s">
        <v>282</v>
      </c>
      <c r="B69" s="98"/>
      <c r="C69" s="98"/>
      <c r="D69" s="98"/>
      <c r="E69" s="98"/>
      <c r="F69" s="98"/>
      <c r="G69" s="98"/>
      <c r="H69" s="98"/>
      <c r="I69" s="98"/>
      <c r="J69" s="98"/>
    </row>
    <row r="70" spans="1:10" ht="18" customHeight="1" x14ac:dyDescent="0.25">
      <c r="A70" s="53" t="s">
        <v>240</v>
      </c>
      <c r="B70" s="1" t="s">
        <v>241</v>
      </c>
      <c r="C70" s="1" t="s">
        <v>242</v>
      </c>
      <c r="D70" s="1" t="s">
        <v>243</v>
      </c>
      <c r="J70" s="1" t="s">
        <v>244</v>
      </c>
    </row>
    <row r="71" spans="1:10" ht="18" customHeight="1" x14ac:dyDescent="0.25">
      <c r="A71" s="54" t="s">
        <v>245</v>
      </c>
      <c r="B71" s="30">
        <f>F67</f>
        <v>6520</v>
      </c>
      <c r="C71" s="55">
        <f>Assumptions!$B$28</f>
        <v>463.85714285714289</v>
      </c>
      <c r="D71" s="31">
        <f>B71*C71</f>
        <v>3024348.5714285718</v>
      </c>
      <c r="J71" s="56" t="s">
        <v>283</v>
      </c>
    </row>
    <row r="72" spans="1:10" ht="18" customHeight="1" x14ac:dyDescent="0.25">
      <c r="A72" s="54" t="s">
        <v>246</v>
      </c>
      <c r="B72" s="29">
        <v>780</v>
      </c>
      <c r="C72" s="55">
        <f>Assumptions!$B$28</f>
        <v>463.85714285714289</v>
      </c>
      <c r="D72" s="31">
        <f>B72*C72</f>
        <v>361808.57142857148</v>
      </c>
      <c r="J72" s="56" t="s">
        <v>284</v>
      </c>
    </row>
    <row r="73" spans="1:10" ht="18" customHeight="1" x14ac:dyDescent="0.25">
      <c r="A73" s="57" t="s">
        <v>43</v>
      </c>
      <c r="B73" s="58">
        <f>ROUND((B71+B72)*Assumptions!$B$19,0)</f>
        <v>365</v>
      </c>
      <c r="C73" s="59">
        <f>Assumptions!$B$28</f>
        <v>463.85714285714289</v>
      </c>
      <c r="D73" s="60">
        <f>B73*C73</f>
        <v>169307.85714285716</v>
      </c>
      <c r="J73" s="61" t="s">
        <v>247</v>
      </c>
    </row>
    <row r="74" spans="1:10" ht="19.5" customHeight="1" x14ac:dyDescent="0.25">
      <c r="A74" s="62" t="s">
        <v>248</v>
      </c>
      <c r="B74" s="63">
        <f>B71+B72+B73</f>
        <v>7665</v>
      </c>
      <c r="C74" s="9">
        <f>Assumptions!$B$28</f>
        <v>463.85714285714289</v>
      </c>
      <c r="D74" s="64">
        <f>B74*C74</f>
        <v>3555465.0000000005</v>
      </c>
      <c r="J74" s="65" t="s">
        <v>249</v>
      </c>
    </row>
    <row r="76" spans="1:10" x14ac:dyDescent="0.25">
      <c r="J76" s="68"/>
    </row>
  </sheetData>
  <mergeCells count="3">
    <mergeCell ref="A69:J69"/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zoomScaleNormal="100" workbookViewId="0">
      <selection activeCell="D24" sqref="D24"/>
    </sheetView>
  </sheetViews>
  <sheetFormatPr defaultColWidth="8.7109375" defaultRowHeight="15" x14ac:dyDescent="0.25"/>
  <cols>
    <col min="1" max="1" width="30" customWidth="1"/>
    <col min="2" max="6" width="16" customWidth="1"/>
    <col min="7" max="7" width="28" customWidth="1"/>
  </cols>
  <sheetData>
    <row r="1" spans="1:8" ht="30" customHeight="1" x14ac:dyDescent="0.25">
      <c r="A1" s="99" t="s">
        <v>250</v>
      </c>
      <c r="B1" s="99"/>
      <c r="C1" s="99"/>
      <c r="D1" s="99"/>
      <c r="E1" s="99"/>
      <c r="F1" s="99"/>
      <c r="G1" s="99"/>
      <c r="H1" s="99"/>
    </row>
    <row r="2" spans="1:8" ht="18" customHeight="1" x14ac:dyDescent="0.25">
      <c r="A2" s="100" t="s">
        <v>251</v>
      </c>
      <c r="B2" s="100"/>
      <c r="C2" s="100"/>
      <c r="D2" s="100"/>
      <c r="E2" s="100"/>
      <c r="F2" s="100"/>
      <c r="G2" s="100"/>
      <c r="H2" s="100"/>
    </row>
    <row r="3" spans="1:8" ht="7.5" customHeight="1" x14ac:dyDescent="0.25"/>
    <row r="4" spans="1:8" ht="21.75" customHeight="1" x14ac:dyDescent="0.25">
      <c r="A4" s="1" t="s">
        <v>252</v>
      </c>
      <c r="B4" s="1" t="s">
        <v>34</v>
      </c>
      <c r="C4" s="1" t="s">
        <v>35</v>
      </c>
      <c r="D4" s="1" t="s">
        <v>36</v>
      </c>
      <c r="E4" s="1" t="s">
        <v>253</v>
      </c>
      <c r="F4" s="1" t="s">
        <v>37</v>
      </c>
      <c r="G4" s="1" t="s">
        <v>8</v>
      </c>
    </row>
    <row r="5" spans="1:8" ht="18" customHeight="1" x14ac:dyDescent="0.25">
      <c r="A5" s="66" t="s">
        <v>38</v>
      </c>
      <c r="B5" s="69">
        <f>Assumptions!B33</f>
        <v>4</v>
      </c>
      <c r="C5" s="69">
        <f>Assumptions!C33</f>
        <v>6</v>
      </c>
      <c r="D5" s="69">
        <f>Assumptions!D33</f>
        <v>6</v>
      </c>
      <c r="E5" s="6"/>
    </row>
    <row r="6" spans="1:8" ht="18" customHeight="1" x14ac:dyDescent="0.25">
      <c r="A6" s="67" t="s">
        <v>254</v>
      </c>
      <c r="B6" s="70">
        <f>Assumptions!B36</f>
        <v>18</v>
      </c>
      <c r="C6" s="70">
        <f>Assumptions!C36</f>
        <v>22</v>
      </c>
      <c r="D6" s="70">
        <f>Assumptions!D36</f>
        <v>18</v>
      </c>
      <c r="E6" s="7"/>
    </row>
    <row r="7" spans="1:8" ht="18" customHeight="1" x14ac:dyDescent="0.25">
      <c r="A7" s="66" t="s">
        <v>285</v>
      </c>
      <c r="B7" s="69">
        <f>Assumptions!B37</f>
        <v>2100</v>
      </c>
      <c r="C7" s="69">
        <f>Assumptions!C37</f>
        <v>2900</v>
      </c>
      <c r="D7" s="69">
        <f>Assumptions!D37</f>
        <v>2300</v>
      </c>
      <c r="E7" s="69">
        <f>Assumptions!E38</f>
        <v>365</v>
      </c>
      <c r="F7" s="69">
        <f>Assumptions!E37</f>
        <v>7300</v>
      </c>
    </row>
    <row r="8" spans="1:8" ht="18" customHeight="1" x14ac:dyDescent="0.25">
      <c r="A8" s="67" t="s">
        <v>255</v>
      </c>
      <c r="B8" s="70">
        <f>Assumptions!B38</f>
        <v>105</v>
      </c>
      <c r="C8" s="70">
        <f>Assumptions!C38</f>
        <v>145</v>
      </c>
      <c r="D8" s="70">
        <f>Assumptions!D38</f>
        <v>115</v>
      </c>
      <c r="E8" s="7"/>
      <c r="F8" s="70">
        <f>Assumptions!E38</f>
        <v>365</v>
      </c>
    </row>
    <row r="9" spans="1:8" ht="18" customHeight="1" x14ac:dyDescent="0.25">
      <c r="A9" s="16" t="s">
        <v>256</v>
      </c>
      <c r="B9" s="71">
        <f>Assumptions!B39</f>
        <v>2205</v>
      </c>
      <c r="C9" s="71">
        <f>Assumptions!C39</f>
        <v>3045</v>
      </c>
      <c r="D9" s="71">
        <f>Assumptions!D39</f>
        <v>2415</v>
      </c>
      <c r="E9" s="72">
        <f>Assumptions!E38</f>
        <v>365</v>
      </c>
      <c r="F9" s="71">
        <f>Assumptions!E39</f>
        <v>7665</v>
      </c>
    </row>
    <row r="10" spans="1:8" ht="18" customHeight="1" x14ac:dyDescent="0.25">
      <c r="A10" s="16" t="s">
        <v>257</v>
      </c>
      <c r="B10" s="73">
        <f>Assumptions!B40</f>
        <v>1022805.0000000001</v>
      </c>
      <c r="C10" s="73">
        <f>Assumptions!C40</f>
        <v>1412445</v>
      </c>
      <c r="D10" s="73">
        <f>Assumptions!D40</f>
        <v>1120215</v>
      </c>
      <c r="E10" s="74">
        <f>Assumptions!E38</f>
        <v>365</v>
      </c>
      <c r="F10" s="73">
        <f>Assumptions!E40</f>
        <v>3555465</v>
      </c>
    </row>
    <row r="12" spans="1:8" ht="19.5" customHeight="1" x14ac:dyDescent="0.25">
      <c r="A12" s="104" t="s">
        <v>258</v>
      </c>
      <c r="B12" s="104"/>
      <c r="C12" s="104"/>
      <c r="D12" s="104"/>
      <c r="E12" s="104"/>
      <c r="F12" s="104"/>
      <c r="G12" s="104"/>
    </row>
  </sheetData>
  <mergeCells count="3">
    <mergeCell ref="A1:H1"/>
    <mergeCell ref="A2:H2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WBS Detail</vt:lpstr>
      <vt:lpstr>Phase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Jayakumar</cp:lastModifiedBy>
  <cp:revision>0</cp:revision>
  <dcterms:created xsi:type="dcterms:W3CDTF">2026-03-23T18:29:15Z</dcterms:created>
  <dcterms:modified xsi:type="dcterms:W3CDTF">2026-03-24T13:32:03Z</dcterms:modified>
  <dc:language>en-US</dc:language>
</cp:coreProperties>
</file>